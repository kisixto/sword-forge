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레벨표" sheetId="2" state="visible" r:id="rId4"/>
    <sheet name="상점" sheetId="3" state="visible" r:id="rId5"/>
    <sheet name="가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<sst xmlns="http://schemas.openxmlformats.org/spreadsheetml/2006/main" count="130" uniqueCount="117">
  <si>
    <t xml:space="preserve">검 강화 대장간 밸런스 요약</t>
  </si>
  <si>
    <r>
      <rPr>
        <sz val="10"/>
        <color rgb="FF000000"/>
        <rFont val="Noto Sans CJK SC"/>
        <family val="2"/>
      </rPr>
      <t xml:space="preserve">확률 곡선을 올린 뒤의 결과를 이전 곡선과 비교한 표입니다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숫자는 가정 시트를 바꾸면 함께 바뀝니다</t>
    </r>
    <r>
      <rPr>
        <sz val="10"/>
        <color rgb="FF000000"/>
        <rFont val="Arial"/>
        <family val="0"/>
        <charset val="1"/>
      </rPr>
      <t xml:space="preserve">.</t>
    </r>
  </si>
  <si>
    <t xml:space="preserve">확률 곡선 비교</t>
  </si>
  <si>
    <t xml:space="preserve">이전</t>
  </si>
  <si>
    <t xml:space="preserve">지금</t>
  </si>
  <si>
    <t xml:space="preserve">메모</t>
  </si>
  <si>
    <r>
      <rPr>
        <sz val="10"/>
        <color rgb="FF000000"/>
        <rFont val="Arial"/>
        <family val="0"/>
        <charset val="1"/>
      </rPr>
      <t xml:space="preserve">+0 → +1 </t>
    </r>
    <r>
      <rPr>
        <sz val="10"/>
        <color rgb="FF000000"/>
        <rFont val="Noto Sans CJK SC"/>
        <family val="2"/>
      </rPr>
      <t xml:space="preserve">성공 확률</t>
    </r>
  </si>
  <si>
    <r>
      <rPr>
        <sz val="10"/>
        <color rgb="FF000000"/>
        <rFont val="Arial"/>
        <family val="0"/>
        <charset val="1"/>
      </rPr>
      <t xml:space="preserve">+6 → +7 </t>
    </r>
    <r>
      <rPr>
        <sz val="10"/>
        <color rgb="FF000000"/>
        <rFont val="Noto Sans CJK SC"/>
        <family val="2"/>
      </rPr>
      <t xml:space="preserve">성공 확률</t>
    </r>
  </si>
  <si>
    <r>
      <rPr>
        <sz val="10"/>
        <color rgb="FF000000"/>
        <rFont val="Noto Sans CJK SC"/>
        <family val="2"/>
      </rPr>
      <t xml:space="preserve">화면에 </t>
    </r>
    <r>
      <rPr>
        <sz val="10"/>
        <color rgb="FF000000"/>
        <rFont val="Arial"/>
        <family val="0"/>
        <charset val="1"/>
      </rPr>
      <t xml:space="preserve">81%</t>
    </r>
    <r>
      <rPr>
        <sz val="10"/>
        <color rgb="FF000000"/>
        <rFont val="Noto Sans CJK SC"/>
        <family val="2"/>
      </rPr>
      <t xml:space="preserve">로 표시되던 구간</t>
    </r>
  </si>
  <si>
    <r>
      <rPr>
        <sz val="10"/>
        <color rgb="FF000000"/>
        <rFont val="Arial"/>
        <family val="0"/>
        <charset val="1"/>
      </rPr>
      <t xml:space="preserve">+19 → +20 </t>
    </r>
    <r>
      <rPr>
        <sz val="10"/>
        <color rgb="FF000000"/>
        <rFont val="Noto Sans CJK SC"/>
        <family val="2"/>
      </rPr>
      <t xml:space="preserve">성공 확률</t>
    </r>
  </si>
  <si>
    <t xml:space="preserve">후반은 비슷하게 어렵게 유지</t>
  </si>
  <si>
    <r>
      <rPr>
        <sz val="10"/>
        <color rgb="FF000000"/>
        <rFont val="Noto Sans CJK SC"/>
        <family val="2"/>
      </rPr>
      <t xml:space="preserve">한 번에 </t>
    </r>
    <r>
      <rPr>
        <sz val="10"/>
        <color rgb="FF000000"/>
        <rFont val="Arial"/>
        <family val="0"/>
        <charset val="1"/>
      </rPr>
      <t xml:space="preserve">+9</t>
    </r>
    <r>
      <rPr>
        <sz val="10"/>
        <color rgb="FF000000"/>
        <rFont val="Noto Sans CJK SC"/>
        <family val="2"/>
      </rPr>
      <t xml:space="preserve">까지 갈 확률</t>
    </r>
  </si>
  <si>
    <r>
      <rPr>
        <sz val="10"/>
        <color rgb="FF000000"/>
        <rFont val="Noto Sans CJK SC"/>
        <family val="2"/>
      </rPr>
      <t xml:space="preserve">연속으로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번 성공해야 하므로 단계 확률보다 훨씬 낮음</t>
    </r>
  </si>
  <si>
    <r>
      <rPr>
        <sz val="10"/>
        <color rgb="FF000000"/>
        <rFont val="Noto Sans CJK SC"/>
        <family val="2"/>
      </rPr>
      <t xml:space="preserve">한 번에 </t>
    </r>
    <r>
      <rPr>
        <sz val="10"/>
        <color rgb="FF000000"/>
        <rFont val="Arial"/>
        <family val="0"/>
        <charset val="1"/>
      </rPr>
      <t xml:space="preserve">+10</t>
    </r>
    <r>
      <rPr>
        <sz val="10"/>
        <color rgb="FF000000"/>
        <rFont val="Noto Sans CJK SC"/>
        <family val="2"/>
      </rPr>
      <t xml:space="preserve">까지 갈 확률</t>
    </r>
  </si>
  <si>
    <r>
      <rPr>
        <sz val="10"/>
        <color rgb="FF000000"/>
        <rFont val="Noto Sans CJK SC"/>
        <family val="2"/>
      </rPr>
      <t xml:space="preserve">한 번에 </t>
    </r>
    <r>
      <rPr>
        <sz val="10"/>
        <color rgb="FF000000"/>
        <rFont val="Arial"/>
        <family val="0"/>
        <charset val="1"/>
      </rPr>
      <t xml:space="preserve">+15</t>
    </r>
    <r>
      <rPr>
        <sz val="10"/>
        <color rgb="FF000000"/>
        <rFont val="Noto Sans CJK SC"/>
        <family val="2"/>
      </rPr>
      <t xml:space="preserve">까지 갈 확률</t>
    </r>
  </si>
  <si>
    <r>
      <rPr>
        <sz val="10"/>
        <color rgb="FF000000"/>
        <rFont val="Noto Sans CJK SC"/>
        <family val="2"/>
      </rPr>
      <t xml:space="preserve">한 번에 </t>
    </r>
    <r>
      <rPr>
        <sz val="10"/>
        <color rgb="FF000000"/>
        <rFont val="Arial"/>
        <family val="0"/>
        <charset val="1"/>
      </rPr>
      <t xml:space="preserve">+20</t>
    </r>
    <r>
      <rPr>
        <sz val="10"/>
        <color rgb="FF000000"/>
        <rFont val="Noto Sans CJK SC"/>
        <family val="2"/>
      </rPr>
      <t xml:space="preserve">까지 갈 확률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금 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</si>
  <si>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화로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행운의 가루를 쓰면 더 올라감</t>
    </r>
  </si>
  <si>
    <r>
      <rPr>
        <sz val="10"/>
        <color rgb="FF000000"/>
        <rFont val="Noto Sans CJK SC"/>
        <family val="2"/>
      </rPr>
      <t xml:space="preserve">도달 레벨 중앙값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시뮬레이션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</si>
  <si>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직접 입력값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한 번의 도전에서 끝까지 강화했을 때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만 회 몬테카를로 시뮬레이션 결과</t>
    </r>
  </si>
  <si>
    <r>
      <rPr>
        <b val="true"/>
        <sz val="10"/>
        <color rgb="FFFFFFFF"/>
        <rFont val="Noto Sans CJK SC"/>
        <family val="2"/>
      </rPr>
      <t xml:space="preserve">판매가 비교 </t>
    </r>
    <r>
      <rPr>
        <b val="true"/>
        <sz val="10"/>
        <color rgb="FFFFFFFF"/>
        <rFont val="Arial"/>
        <family val="0"/>
        <charset val="1"/>
      </rPr>
      <t xml:space="preserve">(G)</t>
    </r>
  </si>
  <si>
    <t xml:space="preserve">이전 확률</t>
  </si>
  <si>
    <t xml:space="preserve">지금 확률</t>
  </si>
  <si>
    <r>
      <rPr>
        <sz val="10"/>
        <color rgb="FF000000"/>
        <rFont val="Arial"/>
        <family val="0"/>
        <charset val="1"/>
      </rPr>
      <t xml:space="preserve">+1 </t>
    </r>
    <r>
      <rPr>
        <sz val="10"/>
        <color rgb="FF000000"/>
        <rFont val="Noto Sans CJK SC"/>
        <family val="2"/>
      </rPr>
      <t xml:space="preserve">검</t>
    </r>
  </si>
  <si>
    <r>
      <rPr>
        <sz val="10"/>
        <color rgb="FF000000"/>
        <rFont val="Arial"/>
        <family val="0"/>
        <charset val="1"/>
      </rPr>
      <t xml:space="preserve">+2 </t>
    </r>
    <r>
      <rPr>
        <sz val="10"/>
        <color rgb="FF000000"/>
        <rFont val="Noto Sans CJK SC"/>
        <family val="2"/>
      </rPr>
      <t xml:space="preserve">검</t>
    </r>
  </si>
  <si>
    <t xml:space="preserve">이전 곡선에서는 평균 비용 대비 이익이 거의 없던 구간</t>
  </si>
  <si>
    <r>
      <rPr>
        <sz val="10"/>
        <color rgb="FF000000"/>
        <rFont val="Arial"/>
        <family val="0"/>
        <charset val="1"/>
      </rPr>
      <t xml:space="preserve">+5 </t>
    </r>
    <r>
      <rPr>
        <sz val="10"/>
        <color rgb="FF000000"/>
        <rFont val="Noto Sans CJK SC"/>
        <family val="2"/>
      </rPr>
      <t xml:space="preserve">검</t>
    </r>
  </si>
  <si>
    <r>
      <rPr>
        <sz val="10"/>
        <color rgb="FF000000"/>
        <rFont val="Arial"/>
        <family val="0"/>
        <charset val="1"/>
      </rPr>
      <t xml:space="preserve">+10 </t>
    </r>
    <r>
      <rPr>
        <sz val="10"/>
        <color rgb="FF000000"/>
        <rFont val="Noto Sans CJK SC"/>
        <family val="2"/>
      </rPr>
      <t xml:space="preserve">검</t>
    </r>
  </si>
  <si>
    <r>
      <rPr>
        <sz val="10"/>
        <color rgb="FF000000"/>
        <rFont val="Arial"/>
        <family val="0"/>
        <charset val="1"/>
      </rPr>
      <t xml:space="preserve">+15 </t>
    </r>
    <r>
      <rPr>
        <sz val="10"/>
        <color rgb="FF000000"/>
        <rFont val="Noto Sans CJK SC"/>
        <family val="2"/>
      </rPr>
      <t xml:space="preserve">검</t>
    </r>
  </si>
  <si>
    <r>
      <rPr>
        <sz val="10"/>
        <color rgb="FF000000"/>
        <rFont val="Arial"/>
        <family val="0"/>
        <charset val="1"/>
      </rPr>
      <t xml:space="preserve">+19 </t>
    </r>
    <r>
      <rPr>
        <sz val="10"/>
        <color rgb="FF000000"/>
        <rFont val="Noto Sans CJK SC"/>
        <family val="2"/>
      </rPr>
      <t xml:space="preserve">검</t>
    </r>
  </si>
  <si>
    <r>
      <rPr>
        <sz val="10"/>
        <color rgb="FF000000"/>
        <rFont val="Arial"/>
        <family val="0"/>
        <charset val="1"/>
      </rPr>
      <t xml:space="preserve">+20 </t>
    </r>
    <r>
      <rPr>
        <sz val="10"/>
        <color rgb="FF000000"/>
        <rFont val="Noto Sans CJK SC"/>
        <family val="2"/>
      </rPr>
      <t xml:space="preserve">금 검 </t>
    </r>
    <r>
      <rPr>
        <sz val="10"/>
        <color rgb="FF000000"/>
        <rFont val="Arial"/>
        <family val="0"/>
        <charset val="1"/>
      </rPr>
      <t xml:space="preserve">(2</t>
    </r>
    <r>
      <rPr>
        <sz val="10"/>
        <color rgb="FF000000"/>
        <rFont val="Noto Sans CJK SC"/>
        <family val="2"/>
      </rPr>
      <t xml:space="preserve">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</si>
  <si>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금 검 판매가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배가 포함됨</t>
    </r>
  </si>
  <si>
    <t xml:space="preserve">규칙 메모</t>
  </si>
  <si>
    <r>
      <rPr>
        <sz val="10"/>
        <color rgb="FF000000"/>
        <rFont val="Noto Sans CJK SC"/>
        <family val="2"/>
      </rPr>
      <t xml:space="preserve">강화에 실패하면 검이 부서지고 새 </t>
    </r>
    <r>
      <rPr>
        <sz val="10"/>
        <color rgb="FF000000"/>
        <rFont val="Arial"/>
        <family val="0"/>
        <charset val="1"/>
      </rPr>
      <t xml:space="preserve">+0 </t>
    </r>
    <r>
      <rPr>
        <sz val="10"/>
        <color rgb="FF000000"/>
        <rFont val="Noto Sans CJK SC"/>
        <family val="2"/>
      </rPr>
      <t xml:space="preserve">검을 받습니다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수호 부적은 파괴를 한 번 막아 줍니다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</si>
  <si>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+20</t>
    </r>
    <r>
      <rPr>
        <sz val="10"/>
        <color rgb="FF000000"/>
        <rFont val="Noto Sans CJK SC"/>
        <family val="2"/>
      </rPr>
      <t xml:space="preserve">에 도달하면 검이 금 검으로 바뀌고 판매가가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배가 됩니다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</si>
  <si>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금 검을 처음 완성한 뒤로 상점 가격이 영구적으로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배가 됩니다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상점 시트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이 해석이 다르면 가정 시트에서 바꿀 수 있습니다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</si>
  <si>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판매가 </t>
    </r>
    <r>
      <rPr>
        <sz val="10"/>
        <color rgb="FF000000"/>
        <rFont val="Arial"/>
        <family val="0"/>
        <charset val="1"/>
      </rPr>
      <t xml:space="preserve">= (1.7 − 0.03×</t>
    </r>
    <r>
      <rPr>
        <sz val="10"/>
        <color rgb="FF000000"/>
        <rFont val="Noto Sans CJK SC"/>
        <family val="2"/>
      </rPr>
      <t xml:space="preserve">레벨</t>
    </r>
    <r>
      <rPr>
        <sz val="10"/>
        <color rgb="FF000000"/>
        <rFont val="Arial"/>
        <family val="0"/>
        <charset val="1"/>
      </rPr>
      <t xml:space="preserve">) × </t>
    </r>
    <r>
      <rPr>
        <sz val="10"/>
        <color rgb="FF000000"/>
        <rFont val="Noto Sans CJK SC"/>
        <family val="2"/>
      </rPr>
      <t xml:space="preserve">그 레벨까지 만드는 기대 강화 비용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자세한 계산은 레벨표 시트에 있습니다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</si>
  <si>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레벨별 확률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비용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판매가</t>
    </r>
  </si>
  <si>
    <r>
      <rPr>
        <sz val="10"/>
        <color rgb="FF000000"/>
        <rFont val="Noto Sans CJK SC"/>
        <family val="2"/>
      </rPr>
      <t xml:space="preserve">한 행은 </t>
    </r>
    <r>
      <rPr>
        <sz val="10"/>
        <color rgb="FF000000"/>
        <rFont val="Arial"/>
        <family val="0"/>
        <charset val="1"/>
      </rPr>
      <t xml:space="preserve">"+N </t>
    </r>
    <r>
      <rPr>
        <sz val="10"/>
        <color rgb="FF000000"/>
        <rFont val="Noto Sans CJK SC"/>
        <family val="2"/>
      </rPr>
      <t xml:space="preserve">검</t>
    </r>
    <r>
      <rPr>
        <sz val="10"/>
        <color rgb="FF000000"/>
        <rFont val="Arial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기준입니다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확률과 비용은 </t>
    </r>
    <r>
      <rPr>
        <sz val="10"/>
        <color rgb="FF000000"/>
        <rFont val="Arial"/>
        <family val="0"/>
        <charset val="1"/>
      </rPr>
      <t xml:space="preserve">+N → +(N+1) </t>
    </r>
    <r>
      <rPr>
        <sz val="10"/>
        <color rgb="FF000000"/>
        <rFont val="Noto Sans CJK SC"/>
        <family val="2"/>
      </rPr>
      <t xml:space="preserve">강화에 대한 값입니다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</si>
  <si>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레벨 </t>
    </r>
    <r>
      <rPr>
        <b val="true"/>
        <sz val="10"/>
        <color rgb="FFFFFFFF"/>
        <rFont val="Arial"/>
        <family val="0"/>
        <charset val="1"/>
      </rPr>
      <t xml:space="preserve">(N)</t>
    </r>
  </si>
  <si>
    <t xml:space="preserve">성공 확률
이전</t>
  </si>
  <si>
    <t xml:space="preserve">성공 확률
지금</t>
  </si>
  <si>
    <r>
      <rPr>
        <b val="true"/>
        <sz val="10"/>
        <color rgb="FFFFFFFF"/>
        <rFont val="Noto Sans CJK SC"/>
        <family val="2"/>
      </rPr>
      <t xml:space="preserve">강화 비용
</t>
    </r>
    <r>
      <rPr>
        <b val="true"/>
        <sz val="10"/>
        <color rgb="FFFFFFFF"/>
        <rFont val="Arial"/>
        <family val="0"/>
        <charset val="1"/>
      </rPr>
      <t xml:space="preserve">(G)</t>
    </r>
  </si>
  <si>
    <r>
      <rPr>
        <b val="true"/>
        <sz val="10"/>
        <color rgb="FFFFFFFF"/>
        <rFont val="Noto Sans CJK SC"/>
        <family val="2"/>
      </rPr>
      <t xml:space="preserve">한 번에 </t>
    </r>
    <r>
      <rPr>
        <b val="true"/>
        <sz val="10"/>
        <color rgb="FFFFFFFF"/>
        <rFont val="Arial"/>
        <family val="0"/>
        <charset val="1"/>
      </rPr>
      <t xml:space="preserve">+N</t>
    </r>
    <r>
      <rPr>
        <b val="true"/>
        <sz val="10"/>
        <color rgb="FFFFFFFF"/>
        <rFont val="Noto Sans CJK SC"/>
        <family val="2"/>
      </rPr>
      <t xml:space="preserve">까지
갈 확률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이전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</si>
  <si>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한 번에 </t>
    </r>
    <r>
      <rPr>
        <b val="true"/>
        <sz val="10"/>
        <color rgb="FFFFFFFF"/>
        <rFont val="Arial"/>
        <family val="0"/>
        <charset val="1"/>
      </rPr>
      <t xml:space="preserve">+N</t>
    </r>
    <r>
      <rPr>
        <b val="true"/>
        <sz val="10"/>
        <color rgb="FFFFFFFF"/>
        <rFont val="Noto Sans CJK SC"/>
        <family val="2"/>
      </rPr>
      <t xml:space="preserve">까지
갈 확률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지금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</si>
  <si>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+N </t>
    </r>
    <r>
      <rPr>
        <b val="true"/>
        <sz val="10"/>
        <color rgb="FFFFFFFF"/>
        <rFont val="Noto Sans CJK SC"/>
        <family val="2"/>
      </rPr>
      <t xml:space="preserve">만드는 기대
강화 비용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이전</t>
    </r>
    <r>
      <rPr>
        <b val="true"/>
        <sz val="10"/>
        <color rgb="FFFFFFFF"/>
        <rFont val="Arial"/>
        <family val="0"/>
        <charset val="1"/>
      </rPr>
      <t xml:space="preserve">, G)</t>
    </r>
  </si>
  <si>
    <r>
      <rPr>
        <b val="true"/>
        <sz val="10"/>
        <color rgb="FFFFFFFF"/>
        <rFont val="Arial"/>
        <family val="0"/>
        <charset val="1"/>
      </rPr>
      <t xml:space="preserve">+N </t>
    </r>
    <r>
      <rPr>
        <b val="true"/>
        <sz val="10"/>
        <color rgb="FFFFFFFF"/>
        <rFont val="Noto Sans CJK SC"/>
        <family val="2"/>
      </rPr>
      <t xml:space="preserve">만드는 기대
강화 비용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지금</t>
    </r>
    <r>
      <rPr>
        <b val="true"/>
        <sz val="10"/>
        <color rgb="FFFFFFFF"/>
        <rFont val="Arial"/>
        <family val="0"/>
        <charset val="1"/>
      </rPr>
      <t xml:space="preserve">, G)</t>
    </r>
  </si>
  <si>
    <r>
      <rPr>
        <b val="true"/>
        <sz val="10"/>
        <color rgb="FFFFFFFF"/>
        <rFont val="Noto Sans CJK SC"/>
        <family val="2"/>
      </rPr>
      <t xml:space="preserve">판매가
이전 확률 </t>
    </r>
    <r>
      <rPr>
        <b val="true"/>
        <sz val="10"/>
        <color rgb="FFFFFFFF"/>
        <rFont val="Arial"/>
        <family val="0"/>
        <charset val="1"/>
      </rPr>
      <t xml:space="preserve">(G)</t>
    </r>
  </si>
  <si>
    <r>
      <rPr>
        <b val="true"/>
        <sz val="10"/>
        <color rgb="FFFFFFFF"/>
        <rFont val="Noto Sans CJK SC"/>
        <family val="2"/>
      </rPr>
      <t xml:space="preserve">판매가
지금 확률 </t>
    </r>
    <r>
      <rPr>
        <b val="true"/>
        <sz val="10"/>
        <color rgb="FFFFFFFF"/>
        <rFont val="Arial"/>
        <family val="0"/>
        <charset val="1"/>
      </rPr>
      <t xml:space="preserve">(G)</t>
    </r>
  </si>
  <si>
    <r>
      <rPr>
        <b val="true"/>
        <sz val="10"/>
        <color rgb="FFFFFFFF"/>
        <rFont val="Noto Sans CJK SC"/>
        <family val="2"/>
      </rPr>
      <t xml:space="preserve">판매가 </t>
    </r>
    <r>
      <rPr>
        <b val="true"/>
        <sz val="10"/>
        <color rgb="FFFFFFFF"/>
        <rFont val="Arial"/>
        <family val="0"/>
        <charset val="1"/>
      </rPr>
      <t xml:space="preserve">÷
</t>
    </r>
    <r>
      <rPr>
        <b val="true"/>
        <sz val="10"/>
        <color rgb="FFFFFFFF"/>
        <rFont val="Noto Sans CJK SC"/>
        <family val="2"/>
      </rPr>
      <t xml:space="preserve">기대 비용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지금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</si>
  <si>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-</t>
  </si>
  <si>
    <t xml:space="preserve">—</t>
  </si>
  <si>
    <r>
      <rPr>
        <sz val="10"/>
        <color rgb="FF000000"/>
        <rFont val="Noto Sans CJK SC"/>
        <family val="2"/>
      </rPr>
      <t xml:space="preserve">← 금 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판매가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배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</si>
  <si>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기대 강화 비용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새 검으로 시작해 </t>
    </r>
    <r>
      <rPr>
        <sz val="10"/>
        <color rgb="FF000000"/>
        <rFont val="Arial"/>
        <family val="0"/>
        <charset val="1"/>
      </rPr>
      <t xml:space="preserve">+N</t>
    </r>
    <r>
      <rPr>
        <sz val="10"/>
        <color rgb="FF000000"/>
        <rFont val="Noto Sans CJK SC"/>
        <family val="2"/>
      </rPr>
      <t xml:space="preserve">을 만들 때 드는 강화 비용의 기대값입니다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실패하면 검이 부서지므로 새 검으로 처음부터 다시 시작한다고 가정합니다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</si>
  <si>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점화식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기대 비용</t>
    </r>
    <r>
      <rPr>
        <sz val="10"/>
        <color rgb="FF000000"/>
        <rFont val="Arial"/>
        <family val="0"/>
        <charset val="1"/>
      </rPr>
      <t xml:space="preserve">(N) = (</t>
    </r>
    <r>
      <rPr>
        <sz val="10"/>
        <color rgb="FF000000"/>
        <rFont val="Noto Sans CJK SC"/>
        <family val="2"/>
      </rPr>
      <t xml:space="preserve">기대 비용</t>
    </r>
    <r>
      <rPr>
        <sz val="10"/>
        <color rgb="FF000000"/>
        <rFont val="Arial"/>
        <family val="0"/>
        <charset val="1"/>
      </rPr>
      <t xml:space="preserve">(N−1) + </t>
    </r>
    <r>
      <rPr>
        <sz val="10"/>
        <color rgb="FF000000"/>
        <rFont val="Noto Sans CJK SC"/>
        <family val="2"/>
      </rPr>
      <t xml:space="preserve">강화 비용</t>
    </r>
    <r>
      <rPr>
        <sz val="10"/>
        <color rgb="FF000000"/>
        <rFont val="Arial"/>
        <family val="0"/>
        <charset val="1"/>
      </rPr>
      <t xml:space="preserve">(N−1)) ÷ </t>
    </r>
    <r>
      <rPr>
        <sz val="10"/>
        <color rgb="FF000000"/>
        <rFont val="Noto Sans CJK SC"/>
        <family val="2"/>
      </rPr>
      <t xml:space="preserve">성공 확률</t>
    </r>
    <r>
      <rPr>
        <sz val="10"/>
        <color rgb="FF000000"/>
        <rFont val="Arial"/>
        <family val="0"/>
        <charset val="1"/>
      </rPr>
      <t xml:space="preserve">(N−1)</t>
    </r>
  </si>
  <si>
    <r>
      <rPr>
        <sz val="10"/>
        <color rgb="FF000000"/>
        <rFont val="Noto Sans CJK SC"/>
        <family val="2"/>
      </rPr>
      <t xml:space="preserve">판매가 </t>
    </r>
    <r>
      <rPr>
        <sz val="10"/>
        <color rgb="FF000000"/>
        <rFont val="Arial"/>
        <family val="0"/>
        <charset val="1"/>
      </rPr>
      <t xml:space="preserve">= (1.7 − 0.03×N) × </t>
    </r>
    <r>
      <rPr>
        <sz val="10"/>
        <color rgb="FF000000"/>
        <rFont val="Noto Sans CJK SC"/>
        <family val="2"/>
      </rPr>
      <t xml:space="preserve">기대 비용</t>
    </r>
    <r>
      <rPr>
        <sz val="10"/>
        <color rgb="FF000000"/>
        <rFont val="Arial"/>
        <family val="0"/>
        <charset val="1"/>
      </rPr>
      <t xml:space="preserve">(N), 3</t>
    </r>
    <r>
      <rPr>
        <sz val="10"/>
        <color rgb="FF000000"/>
        <rFont val="Noto Sans CJK SC"/>
        <family val="2"/>
      </rPr>
      <t xml:space="preserve">자리 유효숫자로 반올림 </t>
    </r>
    <r>
      <rPr>
        <sz val="10"/>
        <color rgb="FF000000"/>
        <rFont val="Arial"/>
        <family val="0"/>
        <charset val="1"/>
      </rPr>
      <t xml:space="preserve">(+20</t>
    </r>
    <r>
      <rPr>
        <sz val="10"/>
        <color rgb="FF000000"/>
        <rFont val="Noto Sans CJK SC"/>
        <family val="2"/>
      </rPr>
      <t xml:space="preserve">은 금 검이라 </t>
    </r>
    <r>
      <rPr>
        <sz val="10"/>
        <color rgb="FF000000"/>
        <rFont val="Arial"/>
        <family val="0"/>
        <charset val="1"/>
      </rPr>
      <t xml:space="preserve">×2). </t>
    </r>
    <r>
      <rPr>
        <sz val="10"/>
        <color rgb="FF000000"/>
        <rFont val="Noto Sans CJK SC"/>
        <family val="2"/>
      </rPr>
      <t xml:space="preserve">행운의 가루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화로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할인 쿠폰은 반영하지 않았습니다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</si>
  <si>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이전</t>
    </r>
    <r>
      <rPr>
        <sz val="10"/>
        <color rgb="FF000000"/>
        <rFont val="Arial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열은 직전 버전의 확률 곡선</t>
    </r>
    <r>
      <rPr>
        <sz val="10"/>
        <color rgb="FF000000"/>
        <rFont val="Arial"/>
        <family val="0"/>
        <charset val="1"/>
      </rPr>
      <t xml:space="preserve">(97%</t>
    </r>
    <r>
      <rPr>
        <sz val="10"/>
        <color rgb="FF000000"/>
        <rFont val="Noto Sans CJK SC"/>
        <family val="2"/>
      </rPr>
      <t xml:space="preserve">에서 시작해 레벨당 </t>
    </r>
    <r>
      <rPr>
        <sz val="10"/>
        <color rgb="FF000000"/>
        <rFont val="Arial"/>
        <family val="0"/>
        <charset val="1"/>
      </rPr>
      <t xml:space="preserve">2.6%p </t>
    </r>
    <r>
      <rPr>
        <sz val="10"/>
        <color rgb="FF000000"/>
        <rFont val="Noto Sans CJK SC"/>
        <family val="2"/>
      </rPr>
      <t xml:space="preserve">감소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에 같은 판매가 공식을 적용한 비교용 값입니다</t>
    </r>
    <r>
      <rPr>
        <sz val="10"/>
        <color rgb="FF000000"/>
        <rFont val="Arial"/>
        <family val="0"/>
        <charset val="1"/>
      </rPr>
      <t xml:space="preserve">.</t>
    </r>
  </si>
  <si>
    <t xml:space="preserve">상점 가격</t>
  </si>
  <si>
    <r>
      <rPr>
        <sz val="10"/>
        <color rgb="FF000000"/>
        <rFont val="Noto Sans CJK SC"/>
        <family val="2"/>
      </rPr>
      <t xml:space="preserve">금 검을 처음 완성하면 모든 가격이 영구적으로 배수만큼 올라갑니다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배수는 가정 시트</t>
    </r>
    <r>
      <rPr>
        <sz val="10"/>
        <color rgb="FF000000"/>
        <rFont val="Arial"/>
        <family val="0"/>
        <charset val="1"/>
      </rPr>
      <t xml:space="preserve">).</t>
    </r>
  </si>
  <si>
    <t xml:space="preserve">아이템</t>
  </si>
  <si>
    <t xml:space="preserve">효과</t>
  </si>
  <si>
    <r>
      <rPr>
        <b val="true"/>
        <sz val="10"/>
        <color rgb="FFFFFFFF"/>
        <rFont val="Noto Sans CJK SC"/>
        <family val="2"/>
      </rPr>
      <t xml:space="preserve">기본 가격 </t>
    </r>
    <r>
      <rPr>
        <b val="true"/>
        <sz val="10"/>
        <color rgb="FFFFFFFF"/>
        <rFont val="Arial"/>
        <family val="0"/>
        <charset val="1"/>
      </rPr>
      <t xml:space="preserve">(G)</t>
    </r>
  </si>
  <si>
    <r>
      <rPr>
        <b val="true"/>
        <sz val="10"/>
        <color rgb="FFFFFFFF"/>
        <rFont val="Noto Sans CJK SC"/>
        <family val="2"/>
      </rPr>
      <t xml:space="preserve">금 검 이후 </t>
    </r>
    <r>
      <rPr>
        <b val="true"/>
        <sz val="10"/>
        <color rgb="FFFFFFFF"/>
        <rFont val="Arial"/>
        <family val="0"/>
        <charset val="1"/>
      </rPr>
      <t xml:space="preserve">(G)</t>
    </r>
  </si>
  <si>
    <t xml:space="preserve">행운의 가루</t>
  </si>
  <si>
    <r>
      <rPr>
        <sz val="10"/>
        <color rgb="FF000000"/>
        <rFont val="Noto Sans CJK SC"/>
        <family val="2"/>
      </rPr>
      <t xml:space="preserve">다음 강화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회의 성공 확률 </t>
    </r>
    <r>
      <rPr>
        <sz val="10"/>
        <color rgb="FF000000"/>
        <rFont val="Arial"/>
        <family val="0"/>
        <charset val="1"/>
      </rPr>
      <t xml:space="preserve">+10%p</t>
    </r>
  </si>
  <si>
    <t xml:space="preserve">할인 쿠폰</t>
  </si>
  <si>
    <r>
      <rPr>
        <sz val="10"/>
        <color rgb="FF000000"/>
        <rFont val="Noto Sans CJK SC"/>
        <family val="2"/>
      </rPr>
      <t xml:space="preserve">다음 강화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회의 비용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할인</t>
    </r>
  </si>
  <si>
    <t xml:space="preserve">수호 부적</t>
  </si>
  <si>
    <r>
      <rPr>
        <sz val="10"/>
        <color rgb="FF000000"/>
        <rFont val="Noto Sans CJK SC"/>
        <family val="2"/>
      </rPr>
      <t xml:space="preserve">강화에 실패해도 검이 부서지지 않게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막아 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레벨 유지</t>
    </r>
    <r>
      <rPr>
        <sz val="10"/>
        <color rgb="FF000000"/>
        <rFont val="Arial"/>
        <family val="0"/>
        <charset val="1"/>
      </rPr>
      <t xml:space="preserve">)</t>
    </r>
  </si>
  <si>
    <t xml:space="preserve">자동 망치</t>
  </si>
  <si>
    <r>
      <rPr>
        <sz val="10"/>
        <color rgb="FF000000"/>
        <rFont val="Noto Sans CJK SC"/>
        <family val="2"/>
      </rPr>
      <t xml:space="preserve">목표 레벨까지 자동 강화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영구</t>
    </r>
    <r>
      <rPr>
        <sz val="10"/>
        <color rgb="FF000000"/>
        <rFont val="Arial"/>
        <family val="0"/>
        <charset val="1"/>
      </rPr>
      <t xml:space="preserve">, 1</t>
    </r>
    <r>
      <rPr>
        <sz val="10"/>
        <color rgb="FF000000"/>
        <rFont val="Noto Sans CJK SC"/>
        <family val="2"/>
      </rPr>
      <t xml:space="preserve">회 구매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</si>
  <si>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대장간 화로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단계</t>
    </r>
  </si>
  <si>
    <r>
      <rPr>
        <sz val="10"/>
        <color rgb="FF000000"/>
        <rFont val="Noto Sans CJK SC"/>
        <family val="2"/>
      </rPr>
      <t xml:space="preserve">모든 강화의 성공 확률 </t>
    </r>
    <r>
      <rPr>
        <sz val="10"/>
        <color rgb="FF000000"/>
        <rFont val="Arial"/>
        <family val="0"/>
        <charset val="1"/>
      </rPr>
      <t xml:space="preserve">+1%p (</t>
    </r>
    <r>
      <rPr>
        <sz val="10"/>
        <color rgb="FF000000"/>
        <rFont val="Noto Sans CJK SC"/>
        <family val="2"/>
      </rPr>
      <t xml:space="preserve">영구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누적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</si>
  <si>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대장간 화로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단계</t>
    </r>
  </si>
  <si>
    <r>
      <rPr>
        <sz val="10"/>
        <color rgb="FF000000"/>
        <rFont val="Noto Sans CJK SC"/>
        <family val="2"/>
      </rPr>
      <t xml:space="preserve">대장간 화로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단계</t>
    </r>
  </si>
  <si>
    <r>
      <rPr>
        <sz val="10"/>
        <color rgb="FF000000"/>
        <rFont val="Noto Sans CJK SC"/>
        <family val="2"/>
      </rPr>
      <t xml:space="preserve">대장간 화로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단계</t>
    </r>
  </si>
  <si>
    <r>
      <rPr>
        <sz val="10"/>
        <color rgb="FF000000"/>
        <rFont val="Noto Sans CJK SC"/>
        <family val="2"/>
      </rPr>
      <t xml:space="preserve">대장간 화로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단계</t>
    </r>
  </si>
  <si>
    <r>
      <rPr>
        <sz val="10"/>
        <color rgb="FF000000"/>
        <rFont val="Noto Sans CJK SC"/>
        <family val="2"/>
      </rPr>
      <t xml:space="preserve">대장간 화로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단계</t>
    </r>
  </si>
  <si>
    <r>
      <rPr>
        <sz val="10"/>
        <color rgb="FF000000"/>
        <rFont val="Noto Sans CJK SC"/>
        <family val="2"/>
      </rPr>
      <t xml:space="preserve">대장간 화로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단계</t>
    </r>
  </si>
  <si>
    <r>
      <rPr>
        <sz val="10"/>
        <color rgb="FF000000"/>
        <rFont val="Noto Sans CJK SC"/>
        <family val="2"/>
      </rPr>
      <t xml:space="preserve">대장간 화로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단계</t>
    </r>
  </si>
  <si>
    <r>
      <rPr>
        <sz val="10"/>
        <color rgb="FF000000"/>
        <rFont val="Noto Sans CJK SC"/>
        <family val="2"/>
      </rPr>
      <t xml:space="preserve">대장간 화로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단계</t>
    </r>
  </si>
  <si>
    <r>
      <rPr>
        <sz val="10"/>
        <color rgb="FF000000"/>
        <rFont val="Noto Sans CJK SC"/>
        <family val="2"/>
      </rPr>
      <t xml:space="preserve">대장간 화로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단계</t>
    </r>
  </si>
  <si>
    <r>
      <rPr>
        <b val="true"/>
        <sz val="10"/>
        <color rgb="FF000000"/>
        <rFont val="Noto Sans CJK SC"/>
        <family val="2"/>
      </rPr>
      <t xml:space="preserve">대장간 화로 </t>
    </r>
    <r>
      <rPr>
        <b val="true"/>
        <sz val="10"/>
        <color rgb="FF000000"/>
        <rFont val="Arial"/>
        <family val="0"/>
        <charset val="1"/>
      </rPr>
      <t xml:space="preserve">10</t>
    </r>
    <r>
      <rPr>
        <b val="true"/>
        <sz val="10"/>
        <color rgb="FF000000"/>
        <rFont val="Noto Sans CJK SC"/>
        <family val="2"/>
      </rPr>
      <t xml:space="preserve">단계 합계</t>
    </r>
  </si>
  <si>
    <r>
      <rPr>
        <sz val="10"/>
        <color rgb="FF000000"/>
        <rFont val="Noto Sans CJK SC"/>
        <family val="2"/>
      </rPr>
      <t xml:space="preserve">기본 가격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파란 글씨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은 게임 코드의 값을 그대로 옮긴 것입니다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화로 가격은 </t>
    </r>
    <r>
      <rPr>
        <sz val="10"/>
        <color rgb="FF000000"/>
        <rFont val="Arial"/>
        <family val="0"/>
        <charset val="1"/>
      </rPr>
      <t xml:space="preserve">3,000 G</t>
    </r>
    <r>
      <rPr>
        <sz val="10"/>
        <color rgb="FF000000"/>
        <rFont val="Noto Sans CJK SC"/>
        <family val="2"/>
      </rPr>
      <t xml:space="preserve">에서 시작해 단계마다 </t>
    </r>
    <r>
      <rPr>
        <sz val="10"/>
        <color rgb="FF000000"/>
        <rFont val="Arial"/>
        <family val="0"/>
        <charset val="1"/>
      </rPr>
      <t xml:space="preserve">×1.8</t>
    </r>
    <r>
      <rPr>
        <sz val="10"/>
        <color rgb="FF000000"/>
        <rFont val="Noto Sans CJK SC"/>
        <family val="2"/>
      </rPr>
      <t xml:space="preserve">입니다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</si>
  <si>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가정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값을 바꾸면 모든 시트가 다시 계산됩니다</t>
    </r>
    <r>
      <rPr>
        <b val="true"/>
        <sz val="13"/>
        <rFont val="Arial"/>
        <family val="0"/>
        <charset val="1"/>
      </rPr>
      <t xml:space="preserve">)</t>
    </r>
  </si>
  <si>
    <t xml:space="preserve">항목</t>
  </si>
  <si>
    <t xml:space="preserve">값</t>
  </si>
  <si>
    <r>
      <rPr>
        <b val="true"/>
        <sz val="10"/>
        <color rgb="FFFFFFFF"/>
        <rFont val="Noto Sans CJK SC"/>
        <family val="2"/>
      </rPr>
      <t xml:space="preserve">출처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설명</t>
    </r>
  </si>
  <si>
    <t xml:space="preserve">최대 레벨</t>
  </si>
  <si>
    <t xml:space="preserve">게임 설정</t>
  </si>
  <si>
    <r>
      <rPr>
        <sz val="10"/>
        <color rgb="FF000000"/>
        <rFont val="Noto Sans CJK SC"/>
        <family val="2"/>
      </rPr>
      <t xml:space="preserve">지금 확률</t>
    </r>
    <r>
      <rPr>
        <sz val="10"/>
        <color rgb="FF000000"/>
        <rFont val="Arial"/>
        <family val="0"/>
        <charset val="1"/>
      </rPr>
      <t xml:space="preserve">: +0 </t>
    </r>
    <r>
      <rPr>
        <sz val="10"/>
        <color rgb="FF000000"/>
        <rFont val="Noto Sans CJK SC"/>
        <family val="2"/>
      </rPr>
      <t xml:space="preserve">시작값 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</si>
  <si>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</rPr>
      <t xml:space="preserve">게임 코드의 </t>
    </r>
    <r>
      <rPr>
        <sz val="10"/>
        <color rgb="FF000000"/>
        <rFont val="Arial"/>
        <family val="0"/>
        <charset val="1"/>
      </rPr>
      <t xml:space="preserve">baseRate. </t>
    </r>
    <r>
      <rPr>
        <sz val="10"/>
        <color rgb="FF000000"/>
        <rFont val="Noto Sans CJK SC"/>
        <family val="2"/>
      </rPr>
      <t xml:space="preserve">확률 </t>
    </r>
    <r>
      <rPr>
        <sz val="10"/>
        <color rgb="FF000000"/>
        <rFont val="Arial"/>
        <family val="0"/>
        <charset val="1"/>
      </rPr>
      <t xml:space="preserve">= 99 − 0.12×</t>
    </r>
    <r>
      <rPr>
        <sz val="10"/>
        <color rgb="FF000000"/>
        <rFont val="Noto Sans CJK SC"/>
        <family val="2"/>
      </rPr>
      <t xml:space="preserve">레벨² − </t>
    </r>
    <r>
      <rPr>
        <sz val="10"/>
        <color rgb="FF000000"/>
        <rFont val="Arial"/>
        <family val="0"/>
        <charset val="1"/>
      </rPr>
      <t xml:space="preserve">0.5×</t>
    </r>
    <r>
      <rPr>
        <sz val="10"/>
        <color rgb="FF000000"/>
        <rFont val="Noto Sans CJK SC"/>
        <family val="2"/>
      </rPr>
      <t xml:space="preserve">레벨 </t>
    </r>
    <r>
      <rPr>
        <sz val="10"/>
        <color rgb="FF000000"/>
        <rFont val="Arial"/>
        <family val="0"/>
        <charset val="1"/>
      </rPr>
      <t xml:space="preserve">(%, </t>
    </r>
    <r>
      <rPr>
        <sz val="10"/>
        <color rgb="FF000000"/>
        <rFont val="Noto Sans CJK SC"/>
        <family val="2"/>
      </rPr>
      <t xml:space="preserve">반올림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</si>
  <si>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지금 확률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레벨² 계수</t>
    </r>
  </si>
  <si>
    <t xml:space="preserve">위와 같음</t>
  </si>
  <si>
    <r>
      <rPr>
        <sz val="10"/>
        <color rgb="FF000000"/>
        <rFont val="Noto Sans CJK SC"/>
        <family val="2"/>
      </rPr>
      <t xml:space="preserve">지금 확률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레벨 계수</t>
    </r>
  </si>
  <si>
    <r>
      <rPr>
        <sz val="10"/>
        <color rgb="FF000000"/>
        <rFont val="Noto Sans CJK SC"/>
        <family val="2"/>
      </rPr>
      <t xml:space="preserve">이전 확률</t>
    </r>
    <r>
      <rPr>
        <sz val="10"/>
        <color rgb="FF000000"/>
        <rFont val="Arial"/>
        <family val="0"/>
        <charset val="1"/>
      </rPr>
      <t xml:space="preserve">: +0 </t>
    </r>
    <r>
      <rPr>
        <sz val="10"/>
        <color rgb="FF000000"/>
        <rFont val="Noto Sans CJK SC"/>
        <family val="2"/>
      </rPr>
      <t xml:space="preserve">시작값 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</si>
  <si>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</rPr>
      <t xml:space="preserve">직전 버전 곡선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비교용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확률 </t>
    </r>
    <r>
      <rPr>
        <sz val="10"/>
        <color rgb="FF000000"/>
        <rFont val="Arial"/>
        <family val="0"/>
        <charset val="1"/>
      </rPr>
      <t xml:space="preserve">= 97 − 2.6×</t>
    </r>
    <r>
      <rPr>
        <sz val="10"/>
        <color rgb="FF000000"/>
        <rFont val="Noto Sans CJK SC"/>
        <family val="2"/>
      </rPr>
      <t xml:space="preserve">레벨</t>
    </r>
  </si>
  <si>
    <r>
      <rPr>
        <sz val="10"/>
        <color rgb="FF000000"/>
        <rFont val="Noto Sans CJK SC"/>
        <family val="2"/>
      </rPr>
      <t xml:space="preserve">이전 확률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레벨당 감소 </t>
    </r>
    <r>
      <rPr>
        <sz val="10"/>
        <color rgb="FF000000"/>
        <rFont val="Arial"/>
        <family val="0"/>
        <charset val="1"/>
      </rPr>
      <t xml:space="preserve">(%p)</t>
    </r>
  </si>
  <si>
    <r>
      <rPr>
        <sz val="10"/>
        <color rgb="FF000000"/>
        <rFont val="Noto Sans CJK SC"/>
        <family val="2"/>
      </rPr>
      <t xml:space="preserve">직전 버전 곡선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비교용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</si>
  <si>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확률 하한 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</si>
  <si>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Noto Sans CJK SC"/>
        <family val="2"/>
      </rPr>
      <t xml:space="preserve">게임 코드의 </t>
    </r>
    <r>
      <rPr>
        <sz val="10"/>
        <color rgb="FF000000"/>
        <rFont val="Arial"/>
        <family val="0"/>
        <charset val="1"/>
      </rPr>
      <t xml:space="preserve">Math.max(30, …)</t>
    </r>
  </si>
  <si>
    <r>
      <rPr>
        <sz val="10"/>
        <color rgb="FF000000"/>
        <rFont val="Noto Sans CJK SC"/>
        <family val="2"/>
      </rPr>
      <t xml:space="preserve">강화 비용 기준 </t>
    </r>
    <r>
      <rPr>
        <sz val="10"/>
        <color rgb="FF000000"/>
        <rFont val="Arial"/>
        <family val="0"/>
        <charset val="1"/>
      </rPr>
      <t xml:space="preserve">(G)</t>
    </r>
  </si>
  <si>
    <r>
      <rPr>
        <sz val="10"/>
        <color rgb="FF000000"/>
        <rFont val="Arial"/>
        <family val="0"/>
        <charset val="1"/>
      </rPr>
      <t xml:space="preserve">+0 → +1 </t>
    </r>
    <r>
      <rPr>
        <sz val="10"/>
        <color rgb="FF000000"/>
        <rFont val="Noto Sans CJK SC"/>
        <family val="2"/>
      </rPr>
      <t xml:space="preserve">강화 비용이자 최소 비용</t>
    </r>
  </si>
  <si>
    <r>
      <rPr>
        <sz val="10"/>
        <color rgb="FF000000"/>
        <rFont val="Noto Sans CJK SC"/>
        <family val="2"/>
      </rPr>
      <t xml:space="preserve">강화 비용 증가율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레벨당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</si>
  <si>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비용 </t>
    </r>
    <r>
      <rPr>
        <sz val="10"/>
        <color rgb="FF000000"/>
        <rFont val="Arial"/>
        <family val="0"/>
        <charset val="1"/>
      </rPr>
      <t xml:space="preserve">= 100 × 1.33^</t>
    </r>
    <r>
      <rPr>
        <sz val="10"/>
        <color rgb="FF000000"/>
        <rFont val="Noto Sans CJK SC"/>
        <family val="2"/>
      </rPr>
      <t xml:space="preserve">레벨</t>
    </r>
    <r>
      <rPr>
        <sz val="10"/>
        <color rgb="FF000000"/>
        <rFont val="Arial"/>
        <family val="0"/>
        <charset val="1"/>
      </rPr>
      <t xml:space="preserve">, 10 G </t>
    </r>
    <r>
      <rPr>
        <sz val="10"/>
        <color rgb="FF000000"/>
        <rFont val="Noto Sans CJK SC"/>
        <family val="2"/>
      </rPr>
      <t xml:space="preserve">단위 반올림</t>
    </r>
  </si>
  <si>
    <r>
      <rPr>
        <sz val="10"/>
        <color rgb="FF000000"/>
        <rFont val="Noto Sans CJK SC"/>
        <family val="2"/>
      </rPr>
      <t xml:space="preserve">판매가 배수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시작값</t>
    </r>
  </si>
  <si>
    <r>
      <rPr>
        <sz val="10"/>
        <color rgb="FF000000"/>
        <rFont val="Noto Sans CJK SC"/>
        <family val="2"/>
      </rPr>
      <t xml:space="preserve">판매가 </t>
    </r>
    <r>
      <rPr>
        <sz val="10"/>
        <color rgb="FF000000"/>
        <rFont val="Arial"/>
        <family val="0"/>
        <charset val="1"/>
      </rPr>
      <t xml:space="preserve">= (1.7 − 0.03×</t>
    </r>
    <r>
      <rPr>
        <sz val="10"/>
        <color rgb="FF000000"/>
        <rFont val="Noto Sans CJK SC"/>
        <family val="2"/>
      </rPr>
      <t xml:space="preserve">레벨</t>
    </r>
    <r>
      <rPr>
        <sz val="10"/>
        <color rgb="FF000000"/>
        <rFont val="Arial"/>
        <family val="0"/>
        <charset val="1"/>
      </rPr>
      <t xml:space="preserve">) × </t>
    </r>
    <r>
      <rPr>
        <sz val="10"/>
        <color rgb="FF000000"/>
        <rFont val="Noto Sans CJK SC"/>
        <family val="2"/>
      </rPr>
      <t xml:space="preserve">기대 강화 비용</t>
    </r>
  </si>
  <si>
    <r>
      <rPr>
        <sz val="10"/>
        <color rgb="FF000000"/>
        <rFont val="Noto Sans CJK SC"/>
        <family val="2"/>
      </rPr>
      <t xml:space="preserve">판매가 배수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레벨당 감소</t>
    </r>
  </si>
  <si>
    <r>
      <rPr>
        <sz val="10"/>
        <color rgb="FF000000"/>
        <rFont val="Noto Sans CJK SC"/>
        <family val="2"/>
      </rPr>
      <t xml:space="preserve">높은 레벨일수록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팔까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더 갈까</t>
    </r>
    <r>
      <rPr>
        <sz val="10"/>
        <color rgb="FF000000"/>
        <rFont val="Arial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고민이 생기도록 배수를 낮춤</t>
    </r>
  </si>
  <si>
    <t xml:space="preserve">금 검 판매가 배수</t>
  </si>
  <si>
    <r>
      <rPr>
        <sz val="10"/>
        <color rgb="FF000000"/>
        <rFont val="Noto Sans CJK SC"/>
        <family val="2"/>
      </rPr>
      <t xml:space="preserve">요청 사항</t>
    </r>
    <r>
      <rPr>
        <sz val="10"/>
        <color rgb="FF000000"/>
        <rFont val="Arial"/>
        <family val="0"/>
        <charset val="1"/>
      </rPr>
      <t xml:space="preserve">: +20 </t>
    </r>
    <r>
      <rPr>
        <sz val="10"/>
        <color rgb="FF000000"/>
        <rFont val="Noto Sans CJK SC"/>
        <family val="2"/>
      </rPr>
      <t xml:space="preserve">금 검은 판매가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배</t>
    </r>
  </si>
  <si>
    <t xml:space="preserve">금 검 이후 상점 가격 배수</t>
  </si>
  <si>
    <r>
      <rPr>
        <sz val="10"/>
        <color rgb="FF000000"/>
        <rFont val="Noto Sans CJK SC"/>
        <family val="2"/>
      </rPr>
      <t xml:space="preserve">요청 사항을 가격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배로 해석함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금 검을 처음 완성한 뒤 영구 적용</t>
    </r>
  </si>
  <si>
    <r>
      <rPr>
        <sz val="10"/>
        <color rgb="FF000000"/>
        <rFont val="Noto Sans CJK SC"/>
        <family val="2"/>
      </rPr>
      <t xml:space="preserve">대장간 화로 기준가 </t>
    </r>
    <r>
      <rPr>
        <sz val="10"/>
        <color rgb="FF000000"/>
        <rFont val="Arial"/>
        <family val="0"/>
        <charset val="1"/>
      </rPr>
      <t xml:space="preserve">(G)</t>
    </r>
  </si>
  <si>
    <t xml:space="preserve">게임 코드 값</t>
  </si>
  <si>
    <t xml:space="preserve">대장간 화로 가격 증가율</t>
  </si>
  <si>
    <r>
      <rPr>
        <sz val="10"/>
        <color rgb="FF000000"/>
        <rFont val="Noto Sans CJK SC"/>
        <family val="2"/>
      </rPr>
      <t xml:space="preserve">게임 코드 값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단계마다 </t>
    </r>
    <r>
      <rPr>
        <sz val="10"/>
        <color rgb="FF000000"/>
        <rFont val="Arial"/>
        <family val="0"/>
        <charset val="1"/>
      </rPr>
      <t xml:space="preserve">×1.8)</t>
    </r>
  </si>
  <si>
    <r>
      <rPr>
        <sz val="10"/>
        <color rgb="FF000000"/>
        <rFont val="Noto Sans CJK SC"/>
        <family val="2"/>
      </rPr>
      <t xml:space="preserve">파란 글씨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노란 배경 칸이 입력값입니다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나머지는 모두 수식입니다</t>
    </r>
    <r>
      <rPr>
        <sz val="10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</si>
</sst>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.00%"/>
    <numFmt numFmtId="168" formatCode="\+0"/>
    <numFmt numFmtId="169" formatCode="#,##0"/>
    <numFmt numFmtId="170" formatCode="#,##0;\(#,##0\);\-"/>
    <numFmt numFmtId="171" formatCode="0.00\배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3A4A"/>
        <bgColor rgb="FF333300"/>
      </patternFill>
    </fill>
    <fill>
      <patternFill patternType="solid">
        <fgColor rgb="FFFFF9D6"/>
        <bgColor rgb="FFFFF0B8"/>
      </patternFill>
    </fill>
    <fill>
      <patternFill patternType="solid">
        <fgColor rgb="FFFFF0B8"/>
        <bgColor rgb="FFFFF9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5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6"/>
      <rgbColor rgb="FFCCFFFF"/>
      <rgbColor rgb="FF660066"/>
      <rgbColor rgb="FFFF8080"/>
      <rgbColor rgb="FF0066CC"/>
      <rgbColor rgb="FFC5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0B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레벨표!B5</f>
        <v>0.97</v>
      </c>
      <c r="C5" s="6" t="n">
        <f aca="false">레벨표!C5</f>
        <v>0.99</v>
      </c>
      <c r="D5" s="5"/>
    </row>
    <row r="6" customFormat="false" ht="15" hidden="false" customHeight="false" outlineLevel="0" collapsed="false">
      <c r="A6" s="5" t="s">
        <v>7</v>
      </c>
      <c r="B6" s="6" t="n">
        <f aca="false">레벨표!B11</f>
        <v>0.81</v>
      </c>
      <c r="C6" s="6" t="n">
        <f aca="false">레벨표!C11</f>
        <v>0.92</v>
      </c>
      <c r="D6" s="7" t="s">
        <v>8</v>
      </c>
    </row>
    <row r="7" customFormat="false" ht="15" hidden="false" customHeight="false" outlineLevel="0" collapsed="false">
      <c r="A7" s="5" t="s">
        <v>9</v>
      </c>
      <c r="B7" s="6" t="n">
        <f aca="false">레벨표!B24</f>
        <v>0.48</v>
      </c>
      <c r="C7" s="6" t="n">
        <f aca="false">레벨표!C24</f>
        <v>0.46</v>
      </c>
      <c r="D7" s="7" t="s">
        <v>10</v>
      </c>
    </row>
    <row r="8" customFormat="false" ht="15" hidden="false" customHeight="false" outlineLevel="0" collapsed="false">
      <c r="A8" s="7" t="s">
        <v>11</v>
      </c>
      <c r="B8" s="8" t="n">
        <f aca="false">레벨표!E14</f>
        <v>0.265339351265402</v>
      </c>
      <c r="C8" s="8" t="n">
        <f aca="false">레벨표!F14</f>
        <v>0.587164279735757</v>
      </c>
      <c r="D8" s="7" t="s">
        <v>12</v>
      </c>
    </row>
    <row r="9" customFormat="false" ht="15" hidden="false" customHeight="false" outlineLevel="0" collapsed="false">
      <c r="A9" s="7" t="s">
        <v>13</v>
      </c>
      <c r="B9" s="8" t="n">
        <f aca="false">레벨표!E15</f>
        <v>0.196351119936397</v>
      </c>
      <c r="C9" s="8" t="n">
        <f aca="false">레벨표!F15</f>
        <v>0.499089637775393</v>
      </c>
      <c r="D9" s="7"/>
    </row>
    <row r="10" customFormat="false" ht="15" hidden="false" customHeight="false" outlineLevel="0" collapsed="false">
      <c r="A10" s="7" t="s">
        <v>14</v>
      </c>
      <c r="B10" s="8" t="n">
        <f aca="false">레벨표!E20</f>
        <v>0.024044456467049</v>
      </c>
      <c r="C10" s="8" t="n">
        <f aca="false">레벨표!F20</f>
        <v>0.1203024572402</v>
      </c>
      <c r="D10" s="7"/>
    </row>
    <row r="11" customFormat="false" ht="15" hidden="false" customHeight="false" outlineLevel="0" collapsed="false">
      <c r="A11" s="7" t="s">
        <v>15</v>
      </c>
      <c r="B11" s="9" t="n">
        <f aca="false">레벨표!E25</f>
        <v>0.000975647101172154</v>
      </c>
      <c r="C11" s="9" t="n">
        <f aca="false">레벨표!F25</f>
        <v>0.00616389369273154</v>
      </c>
      <c r="D11" s="7" t="s">
        <v>16</v>
      </c>
    </row>
    <row r="12" customFormat="false" ht="15" hidden="false" customHeight="false" outlineLevel="0" collapsed="false">
      <c r="A12" s="7" t="s">
        <v>17</v>
      </c>
      <c r="B12" s="10" t="n">
        <v>6</v>
      </c>
      <c r="C12" s="10" t="n">
        <v>9</v>
      </c>
      <c r="D12" s="7" t="s">
        <v>18</v>
      </c>
    </row>
    <row r="15" customFormat="false" ht="15" hidden="false" customHeight="false" outlineLevel="0" collapsed="false">
      <c r="A15" s="3" t="s">
        <v>19</v>
      </c>
      <c r="B15" s="4" t="s">
        <v>20</v>
      </c>
      <c r="C15" s="4" t="s">
        <v>21</v>
      </c>
      <c r="D15" s="4" t="s">
        <v>5</v>
      </c>
    </row>
    <row r="16" customFormat="false" ht="15" hidden="false" customHeight="false" outlineLevel="0" collapsed="false">
      <c r="A16" s="5" t="s">
        <v>22</v>
      </c>
      <c r="B16" s="11" t="n">
        <f aca="false">레벨표!I6</f>
        <v>170</v>
      </c>
      <c r="C16" s="11" t="n">
        <f aca="false">레벨표!J6</f>
        <v>170</v>
      </c>
      <c r="D16" s="7"/>
    </row>
    <row r="17" customFormat="false" ht="15" hidden="false" customHeight="false" outlineLevel="0" collapsed="false">
      <c r="A17" s="5" t="s">
        <v>23</v>
      </c>
      <c r="B17" s="11" t="n">
        <f aca="false">레벨표!I7</f>
        <v>410</v>
      </c>
      <c r="C17" s="11" t="n">
        <f aca="false">레벨표!J7</f>
        <v>390</v>
      </c>
      <c r="D17" s="7" t="s">
        <v>24</v>
      </c>
    </row>
    <row r="18" customFormat="false" ht="15" hidden="false" customHeight="false" outlineLevel="0" collapsed="false">
      <c r="A18" s="5" t="s">
        <v>25</v>
      </c>
      <c r="B18" s="11" t="n">
        <f aca="false">레벨표!I10</f>
        <v>1960</v>
      </c>
      <c r="C18" s="11" t="n">
        <f aca="false">레벨표!J10</f>
        <v>1630</v>
      </c>
      <c r="D18" s="7"/>
    </row>
    <row r="19" customFormat="false" ht="15" hidden="false" customHeight="false" outlineLevel="0" collapsed="false">
      <c r="A19" s="5" t="s">
        <v>26</v>
      </c>
      <c r="B19" s="11" t="n">
        <f aca="false">레벨표!I15</f>
        <v>17200</v>
      </c>
      <c r="C19" s="11" t="n">
        <f aca="false">레벨표!J15</f>
        <v>10400</v>
      </c>
      <c r="D19" s="7"/>
    </row>
    <row r="20" customFormat="false" ht="15" hidden="false" customHeight="false" outlineLevel="0" collapsed="false">
      <c r="A20" s="5" t="s">
        <v>27</v>
      </c>
      <c r="B20" s="11" t="n">
        <f aca="false">레벨표!I20</f>
        <v>199000</v>
      </c>
      <c r="C20" s="11" t="n">
        <f aca="false">레벨표!J20</f>
        <v>87900</v>
      </c>
      <c r="D20" s="7"/>
    </row>
    <row r="21" customFormat="false" ht="15" hidden="false" customHeight="false" outlineLevel="0" collapsed="false">
      <c r="A21" s="5" t="s">
        <v>28</v>
      </c>
      <c r="B21" s="11" t="n">
        <f aca="false">레벨표!I24</f>
        <v>2390000</v>
      </c>
      <c r="C21" s="11" t="n">
        <f aca="false">레벨표!J24</f>
        <v>938000</v>
      </c>
      <c r="D21" s="7"/>
    </row>
    <row r="22" customFormat="false" ht="15" hidden="false" customHeight="false" outlineLevel="0" collapsed="false">
      <c r="A22" s="12" t="s">
        <v>29</v>
      </c>
      <c r="B22" s="13" t="n">
        <f aca="false">레벨표!I25</f>
        <v>9800000</v>
      </c>
      <c r="C22" s="13" t="n">
        <f aca="false">레벨표!J25</f>
        <v>4080000</v>
      </c>
      <c r="D22" s="14" t="s">
        <v>30</v>
      </c>
    </row>
    <row r="24" customFormat="false" ht="15" hidden="false" customHeight="false" outlineLevel="0" collapsed="false">
      <c r="A24" s="15" t="s">
        <v>31</v>
      </c>
    </row>
    <row r="25" customFormat="false" ht="15" hidden="false" customHeight="false" outlineLevel="0" collapsed="false">
      <c r="A25" s="2" t="s">
        <v>32</v>
      </c>
    </row>
    <row r="26" customFormat="false" ht="15" hidden="false" customHeight="false" outlineLevel="0" collapsed="false">
      <c r="A26" s="16" t="s">
        <v>33</v>
      </c>
    </row>
    <row r="27" customFormat="false" ht="15" hidden="false" customHeight="false" outlineLevel="0" collapsed="false">
      <c r="A27" s="2" t="s">
        <v>34</v>
      </c>
    </row>
    <row r="28" customFormat="false" ht="15" hidden="false" customHeight="false" outlineLevel="0" collapsed="false">
      <c r="A28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8" min="7" style="0" width="22"/>
    <col collapsed="false" customWidth="true" hidden="false" outlineLevel="0" max="10" min="9" style="0" width="18"/>
    <col collapsed="false" customWidth="true" hidden="false" outlineLevel="0" max="11" min="11" style="0" width="15"/>
    <col collapsed="false" customWidth="true" hidden="false" outlineLevel="0" max="12" min="12" style="0" width="28"/>
  </cols>
  <sheetData>
    <row r="1" customFormat="false" ht="20.1" hidden="false" customHeight="false" outlineLevel="0" collapsed="false">
      <c r="A1" s="17" t="s">
        <v>36</v>
      </c>
    </row>
    <row r="2" customFormat="false" ht="15" hidden="false" customHeight="false" outlineLevel="0" collapsed="false">
      <c r="A2" s="2" t="s">
        <v>37</v>
      </c>
    </row>
    <row r="4" customFormat="false" ht="43.5" hidden="false" customHeight="true" outlineLevel="0" collapsed="false">
      <c r="A4" s="3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18" t="s">
        <v>44</v>
      </c>
      <c r="H4" s="18" t="s">
        <v>45</v>
      </c>
      <c r="I4" s="4" t="s">
        <v>46</v>
      </c>
      <c r="J4" s="4" t="s">
        <v>47</v>
      </c>
      <c r="K4" s="4" t="s">
        <v>48</v>
      </c>
    </row>
    <row r="5" customFormat="false" ht="15" hidden="false" customHeight="false" outlineLevel="0" collapsed="false">
      <c r="A5" s="19" t="n">
        <v>0</v>
      </c>
      <c r="B5" s="20" t="n">
        <f aca="false">MAX(가정!$B$10,ROUND(가정!$B$8-가정!$B$9*A5,0))/100</f>
        <v>0.97</v>
      </c>
      <c r="C5" s="20" t="n">
        <f aca="false">MAX(가정!$B$10,ROUND(가정!$B$5-가정!$B$6*A5^2-가정!$B$7*A5,0))/100</f>
        <v>0.99</v>
      </c>
      <c r="D5" s="21" t="n">
        <f aca="false">MAX(가정!$B$11,ROUND(가정!$B$11*가정!$B$12^A5/10,0)*10)</f>
        <v>100</v>
      </c>
      <c r="E5" s="22" t="n">
        <v>1</v>
      </c>
      <c r="F5" s="22" t="n">
        <v>1</v>
      </c>
      <c r="G5" s="23" t="n">
        <v>0</v>
      </c>
      <c r="H5" s="23" t="n">
        <v>0</v>
      </c>
      <c r="I5" s="23" t="n">
        <v>0</v>
      </c>
      <c r="J5" s="23" t="n">
        <v>0</v>
      </c>
      <c r="K5" s="24" t="s">
        <v>49</v>
      </c>
    </row>
    <row r="6" customFormat="false" ht="15" hidden="false" customHeight="false" outlineLevel="0" collapsed="false">
      <c r="A6" s="19" t="n">
        <v>1</v>
      </c>
      <c r="B6" s="20" t="n">
        <f aca="false">MAX(가정!$B$10,ROUND(가정!$B$8-가정!$B$9*A6,0))/100</f>
        <v>0.94</v>
      </c>
      <c r="C6" s="20" t="n">
        <f aca="false">MAX(가정!$B$10,ROUND(가정!$B$5-가정!$B$6*A6^2-가정!$B$7*A6,0))/100</f>
        <v>0.98</v>
      </c>
      <c r="D6" s="21" t="n">
        <f aca="false">MAX(가정!$B$11,ROUND(가정!$B$11*가정!$B$12^A6/10,0)*10)</f>
        <v>130</v>
      </c>
      <c r="E6" s="22" t="n">
        <f aca="false">E5*B5</f>
        <v>0.97</v>
      </c>
      <c r="F6" s="22" t="n">
        <f aca="false">F5*C5</f>
        <v>0.99</v>
      </c>
      <c r="G6" s="23" t="n">
        <f aca="false">(G5+D5)/B5</f>
        <v>103.092783505155</v>
      </c>
      <c r="H6" s="23" t="n">
        <f aca="false">(H5+D5)/C5</f>
        <v>101.010101010101</v>
      </c>
      <c r="I6" s="23" t="n">
        <f aca="false">ROUND((가정!$B$13-가정!$B$14*A6)*G6,-MAX(1,LEN(INT((가정!$B$13-가정!$B$14*A6)*G6))-3))*IF(A6=가정!$B$4,가정!$B$15,1)</f>
        <v>170</v>
      </c>
      <c r="J6" s="23" t="n">
        <f aca="false">ROUND((가정!$B$13-가정!$B$14*A6)*H6,-MAX(1,LEN(INT((가정!$B$13-가정!$B$14*A6)*H6))-3))*IF(A6=가정!$B$4,가정!$B$15,1)</f>
        <v>170</v>
      </c>
      <c r="K6" s="25" t="n">
        <f aca="false">IF(H6&gt;0,J6/H6,"-")</f>
        <v>1.683</v>
      </c>
    </row>
    <row r="7" customFormat="false" ht="15" hidden="false" customHeight="false" outlineLevel="0" collapsed="false">
      <c r="A7" s="19" t="n">
        <v>2</v>
      </c>
      <c r="B7" s="20" t="n">
        <f aca="false">MAX(가정!$B$10,ROUND(가정!$B$8-가정!$B$9*A7,0))/100</f>
        <v>0.92</v>
      </c>
      <c r="C7" s="20" t="n">
        <f aca="false">MAX(가정!$B$10,ROUND(가정!$B$5-가정!$B$6*A7^2-가정!$B$7*A7,0))/100</f>
        <v>0.98</v>
      </c>
      <c r="D7" s="21" t="n">
        <f aca="false">MAX(가정!$B$11,ROUND(가정!$B$11*가정!$B$12^A7/10,0)*10)</f>
        <v>180</v>
      </c>
      <c r="E7" s="22" t="n">
        <f aca="false">E6*B6</f>
        <v>0.9118</v>
      </c>
      <c r="F7" s="22" t="n">
        <f aca="false">F6*C6</f>
        <v>0.9702</v>
      </c>
      <c r="G7" s="23" t="n">
        <f aca="false">(G6+D6)/B6</f>
        <v>247.971046282079</v>
      </c>
      <c r="H7" s="23" t="n">
        <f aca="false">(H6+D6)/C6</f>
        <v>235.72459286745</v>
      </c>
      <c r="I7" s="23" t="n">
        <f aca="false">ROUND((가정!$B$13-가정!$B$14*A7)*G7,-MAX(1,LEN(INT((가정!$B$13-가정!$B$14*A7)*G7))-3))*IF(A7=가정!$B$4,가정!$B$15,1)</f>
        <v>410</v>
      </c>
      <c r="J7" s="23" t="n">
        <f aca="false">ROUND((가정!$B$13-가정!$B$14*A7)*H7,-MAX(1,LEN(INT((가정!$B$13-가정!$B$14*A7)*H7))-3))*IF(A7=가정!$B$4,가정!$B$15,1)</f>
        <v>390</v>
      </c>
      <c r="K7" s="25" t="n">
        <f aca="false">IF(H7&gt;0,J7/H7,"-")</f>
        <v>1.65447310887626</v>
      </c>
    </row>
    <row r="8" customFormat="false" ht="15" hidden="false" customHeight="false" outlineLevel="0" collapsed="false">
      <c r="A8" s="19" t="n">
        <v>3</v>
      </c>
      <c r="B8" s="20" t="n">
        <f aca="false">MAX(가정!$B$10,ROUND(가정!$B$8-가정!$B$9*A8,0))/100</f>
        <v>0.89</v>
      </c>
      <c r="C8" s="20" t="n">
        <f aca="false">MAX(가정!$B$10,ROUND(가정!$B$5-가정!$B$6*A8^2-가정!$B$7*A8,0))/100</f>
        <v>0.96</v>
      </c>
      <c r="D8" s="21" t="n">
        <f aca="false">MAX(가정!$B$11,ROUND(가정!$B$11*가정!$B$12^A8/10,0)*10)</f>
        <v>240</v>
      </c>
      <c r="E8" s="22" t="n">
        <f aca="false">E7*B7</f>
        <v>0.838856</v>
      </c>
      <c r="F8" s="22" t="n">
        <f aca="false">F7*C7</f>
        <v>0.950796</v>
      </c>
      <c r="G8" s="23" t="n">
        <f aca="false">(G7+D7)/B7</f>
        <v>465.185919871825</v>
      </c>
      <c r="H8" s="23" t="n">
        <f aca="false">(H7+D7)/C7</f>
        <v>424.208768232092</v>
      </c>
      <c r="I8" s="23" t="n">
        <f aca="false">ROUND((가정!$B$13-가정!$B$14*A8)*G8,-MAX(1,LEN(INT((가정!$B$13-가정!$B$14*A8)*G8))-3))*IF(A8=가정!$B$4,가정!$B$15,1)</f>
        <v>750</v>
      </c>
      <c r="J8" s="23" t="n">
        <f aca="false">ROUND((가정!$B$13-가정!$B$14*A8)*H8,-MAX(1,LEN(INT((가정!$B$13-가정!$B$14*A8)*H8))-3))*IF(A8=가정!$B$4,가정!$B$15,1)</f>
        <v>680</v>
      </c>
      <c r="K8" s="25" t="n">
        <f aca="false">IF(H8&gt;0,J8/H8,"-")</f>
        <v>1.60298431084753</v>
      </c>
    </row>
    <row r="9" customFormat="false" ht="15" hidden="false" customHeight="false" outlineLevel="0" collapsed="false">
      <c r="A9" s="19" t="n">
        <v>4</v>
      </c>
      <c r="B9" s="20" t="n">
        <f aca="false">MAX(가정!$B$10,ROUND(가정!$B$8-가정!$B$9*A9,0))/100</f>
        <v>0.87</v>
      </c>
      <c r="C9" s="20" t="n">
        <f aca="false">MAX(가정!$B$10,ROUND(가정!$B$5-가정!$B$6*A9^2-가정!$B$7*A9,0))/100</f>
        <v>0.95</v>
      </c>
      <c r="D9" s="21" t="n">
        <f aca="false">MAX(가정!$B$11,ROUND(가정!$B$11*가정!$B$12^A9/10,0)*10)</f>
        <v>310</v>
      </c>
      <c r="E9" s="22" t="n">
        <f aca="false">E8*B8</f>
        <v>0.74658184</v>
      </c>
      <c r="F9" s="22" t="n">
        <f aca="false">F8*C8</f>
        <v>0.91276416</v>
      </c>
      <c r="G9" s="23" t="n">
        <f aca="false">(G8+D8)/B8</f>
        <v>792.343730193062</v>
      </c>
      <c r="H9" s="23" t="n">
        <f aca="false">(H8+D8)/C8</f>
        <v>691.884133575096</v>
      </c>
      <c r="I9" s="23" t="n">
        <f aca="false">ROUND((가정!$B$13-가정!$B$14*A9)*G9,-MAX(1,LEN(INT((가정!$B$13-가정!$B$14*A9)*G9))-3))*IF(A9=가정!$B$4,가정!$B$15,1)</f>
        <v>1250</v>
      </c>
      <c r="J9" s="23" t="n">
        <f aca="false">ROUND((가정!$B$13-가정!$B$14*A9)*H9,-MAX(1,LEN(INT((가정!$B$13-가정!$B$14*A9)*H9))-3))*IF(A9=가정!$B$4,가정!$B$15,1)</f>
        <v>1090</v>
      </c>
      <c r="K9" s="25" t="n">
        <f aca="false">IF(H9&gt;0,J9/H9,"-")</f>
        <v>1.57540829035602</v>
      </c>
    </row>
    <row r="10" customFormat="false" ht="15" hidden="false" customHeight="false" outlineLevel="0" collapsed="false">
      <c r="A10" s="19" t="n">
        <v>5</v>
      </c>
      <c r="B10" s="20" t="n">
        <f aca="false">MAX(가정!$B$10,ROUND(가정!$B$8-가정!$B$9*A10,0))/100</f>
        <v>0.84</v>
      </c>
      <c r="C10" s="20" t="n">
        <f aca="false">MAX(가정!$B$10,ROUND(가정!$B$5-가정!$B$6*A10^2-가정!$B$7*A10,0))/100</f>
        <v>0.94</v>
      </c>
      <c r="D10" s="21" t="n">
        <f aca="false">MAX(가정!$B$11,ROUND(가정!$B$11*가정!$B$12^A10/10,0)*10)</f>
        <v>420</v>
      </c>
      <c r="E10" s="22" t="n">
        <f aca="false">E9*B9</f>
        <v>0.6495262008</v>
      </c>
      <c r="F10" s="22" t="n">
        <f aca="false">F9*C9</f>
        <v>0.867125952</v>
      </c>
      <c r="G10" s="23" t="n">
        <f aca="false">(G9+D9)/B9</f>
        <v>1267.0617588426</v>
      </c>
      <c r="H10" s="23" t="n">
        <f aca="false">(H9+D9)/C9</f>
        <v>1054.61487744747</v>
      </c>
      <c r="I10" s="23" t="n">
        <f aca="false">ROUND((가정!$B$13-가정!$B$14*A10)*G10,-MAX(1,LEN(INT((가정!$B$13-가정!$B$14*A10)*G10))-3))*IF(A10=가정!$B$4,가정!$B$15,1)</f>
        <v>1960</v>
      </c>
      <c r="J10" s="23" t="n">
        <f aca="false">ROUND((가정!$B$13-가정!$B$14*A10)*H10,-MAX(1,LEN(INT((가정!$B$13-가정!$B$14*A10)*H10))-3))*IF(A10=가정!$B$4,가정!$B$15,1)</f>
        <v>1630</v>
      </c>
      <c r="K10" s="25" t="n">
        <f aca="false">IF(H10&gt;0,J10/H10,"-")</f>
        <v>1.54558790593317</v>
      </c>
    </row>
    <row r="11" customFormat="false" ht="15" hidden="false" customHeight="false" outlineLevel="0" collapsed="false">
      <c r="A11" s="19" t="n">
        <v>6</v>
      </c>
      <c r="B11" s="20" t="n">
        <f aca="false">MAX(가정!$B$10,ROUND(가정!$B$8-가정!$B$9*A11,0))/100</f>
        <v>0.81</v>
      </c>
      <c r="C11" s="20" t="n">
        <f aca="false">MAX(가정!$B$10,ROUND(가정!$B$5-가정!$B$6*A11^2-가정!$B$7*A11,0))/100</f>
        <v>0.92</v>
      </c>
      <c r="D11" s="21" t="n">
        <f aca="false">MAX(가정!$B$11,ROUND(가정!$B$11*가정!$B$12^A11/10,0)*10)</f>
        <v>550</v>
      </c>
      <c r="E11" s="22" t="n">
        <f aca="false">E10*B10</f>
        <v>0.545602008672</v>
      </c>
      <c r="F11" s="22" t="n">
        <f aca="false">F10*C10</f>
        <v>0.81509839488</v>
      </c>
      <c r="G11" s="23" t="n">
        <f aca="false">(G10+D10)/B10</f>
        <v>2008.406855765</v>
      </c>
      <c r="H11" s="23" t="n">
        <f aca="false">(H10+D10)/C10</f>
        <v>1568.73923132709</v>
      </c>
      <c r="I11" s="23" t="n">
        <f aca="false">ROUND((가정!$B$13-가정!$B$14*A11)*G11,-MAX(1,LEN(INT((가정!$B$13-가정!$B$14*A11)*G11))-3))*IF(A11=가정!$B$4,가정!$B$15,1)</f>
        <v>3050</v>
      </c>
      <c r="J11" s="23" t="n">
        <f aca="false">ROUND((가정!$B$13-가정!$B$14*A11)*H11,-MAX(1,LEN(INT((가정!$B$13-가정!$B$14*A11)*H11))-3))*IF(A11=가정!$B$4,가정!$B$15,1)</f>
        <v>2380</v>
      </c>
      <c r="K11" s="25" t="n">
        <f aca="false">IF(H11&gt;0,J11/H11,"-")</f>
        <v>1.51714188851299</v>
      </c>
    </row>
    <row r="12" customFormat="false" ht="15" hidden="false" customHeight="false" outlineLevel="0" collapsed="false">
      <c r="A12" s="19" t="n">
        <v>7</v>
      </c>
      <c r="B12" s="20" t="n">
        <f aca="false">MAX(가정!$B$10,ROUND(가정!$B$8-가정!$B$9*A12,0))/100</f>
        <v>0.79</v>
      </c>
      <c r="C12" s="20" t="n">
        <f aca="false">MAX(가정!$B$10,ROUND(가정!$B$5-가정!$B$6*A12^2-가정!$B$7*A12,0))/100</f>
        <v>0.9</v>
      </c>
      <c r="D12" s="21" t="n">
        <f aca="false">MAX(가정!$B$11,ROUND(가정!$B$11*가정!$B$12^A12/10,0)*10)</f>
        <v>740</v>
      </c>
      <c r="E12" s="22" t="n">
        <f aca="false">E11*B11</f>
        <v>0.44193762702432</v>
      </c>
      <c r="F12" s="22" t="n">
        <f aca="false">F11*C11</f>
        <v>0.7498905232896</v>
      </c>
      <c r="G12" s="23" t="n">
        <f aca="false">(G11+D11)/B11</f>
        <v>3158.52698242593</v>
      </c>
      <c r="H12" s="23" t="n">
        <f aca="false">(H11+D11)/C11</f>
        <v>2302.97742535554</v>
      </c>
      <c r="I12" s="23" t="n">
        <f aca="false">ROUND((가정!$B$13-가정!$B$14*A12)*G12,-MAX(1,LEN(INT((가정!$B$13-가정!$B$14*A12)*G12))-3))*IF(A12=가정!$B$4,가정!$B$15,1)</f>
        <v>4710</v>
      </c>
      <c r="J12" s="23" t="n">
        <f aca="false">ROUND((가정!$B$13-가정!$B$14*A12)*H12,-MAX(1,LEN(INT((가정!$B$13-가정!$B$14*A12)*H12))-3))*IF(A12=가정!$B$4,가정!$B$15,1)</f>
        <v>3430</v>
      </c>
      <c r="K12" s="25" t="n">
        <f aca="false">IF(H12&gt;0,J12/H12,"-")</f>
        <v>1.48937630140707</v>
      </c>
    </row>
    <row r="13" customFormat="false" ht="15" hidden="false" customHeight="false" outlineLevel="0" collapsed="false">
      <c r="A13" s="19" t="n">
        <v>8</v>
      </c>
      <c r="B13" s="20" t="n">
        <f aca="false">MAX(가정!$B$10,ROUND(가정!$B$8-가정!$B$9*A13,0))/100</f>
        <v>0.76</v>
      </c>
      <c r="C13" s="20" t="n">
        <f aca="false">MAX(가정!$B$10,ROUND(가정!$B$5-가정!$B$6*A13^2-가정!$B$7*A13,0))/100</f>
        <v>0.87</v>
      </c>
      <c r="D13" s="21" t="n">
        <f aca="false">MAX(가정!$B$11,ROUND(가정!$B$11*가정!$B$12^A13/10,0)*10)</f>
        <v>980</v>
      </c>
      <c r="E13" s="22" t="n">
        <f aca="false">E12*B12</f>
        <v>0.349130725349213</v>
      </c>
      <c r="F13" s="22" t="n">
        <f aca="false">F12*C12</f>
        <v>0.67490147096064</v>
      </c>
      <c r="G13" s="23" t="n">
        <f aca="false">(G12+D12)/B12</f>
        <v>4934.84428155181</v>
      </c>
      <c r="H13" s="23" t="n">
        <f aca="false">(H12+D12)/C12</f>
        <v>3381.08602817282</v>
      </c>
      <c r="I13" s="23" t="n">
        <f aca="false">ROUND((가정!$B$13-가정!$B$14*A13)*G13,-MAX(1,LEN(INT((가정!$B$13-가정!$B$14*A13)*G13))-3))*IF(A13=가정!$B$4,가정!$B$15,1)</f>
        <v>7200</v>
      </c>
      <c r="J13" s="23" t="n">
        <f aca="false">ROUND((가정!$B$13-가정!$B$14*A13)*H13,-MAX(1,LEN(INT((가정!$B$13-가정!$B$14*A13)*H13))-3))*IF(A13=가정!$B$4,가정!$B$15,1)</f>
        <v>4940</v>
      </c>
      <c r="K13" s="25" t="n">
        <f aca="false">IF(H13&gt;0,J13/H13,"-")</f>
        <v>1.46106900529521</v>
      </c>
    </row>
    <row r="14" customFormat="false" ht="15" hidden="false" customHeight="false" outlineLevel="0" collapsed="false">
      <c r="A14" s="19" t="n">
        <v>9</v>
      </c>
      <c r="B14" s="20" t="n">
        <f aca="false">MAX(가정!$B$10,ROUND(가정!$B$8-가정!$B$9*A14,0))/100</f>
        <v>0.74</v>
      </c>
      <c r="C14" s="20" t="n">
        <f aca="false">MAX(가정!$B$10,ROUND(가정!$B$5-가정!$B$6*A14^2-가정!$B$7*A14,0))/100</f>
        <v>0.85</v>
      </c>
      <c r="D14" s="21" t="n">
        <f aca="false">MAX(가정!$B$11,ROUND(가정!$B$11*가정!$B$12^A14/10,0)*10)</f>
        <v>1300</v>
      </c>
      <c r="E14" s="22" t="n">
        <f aca="false">E13*B13</f>
        <v>0.265339351265402</v>
      </c>
      <c r="F14" s="22" t="n">
        <f aca="false">F13*C13</f>
        <v>0.587164279735757</v>
      </c>
      <c r="G14" s="23" t="n">
        <f aca="false">(G13+D13)/B13</f>
        <v>7782.68984414711</v>
      </c>
      <c r="H14" s="23" t="n">
        <f aca="false">(H13+D13)/C13</f>
        <v>5012.74256111818</v>
      </c>
      <c r="I14" s="23" t="n">
        <f aca="false">ROUND((가정!$B$13-가정!$B$14*A14)*G14,-MAX(1,LEN(INT((가정!$B$13-가정!$B$14*A14)*G14))-3))*IF(A14=가정!$B$4,가정!$B$15,1)</f>
        <v>11100</v>
      </c>
      <c r="J14" s="23" t="n">
        <f aca="false">ROUND((가정!$B$13-가정!$B$14*A14)*H14,-MAX(1,LEN(INT((가정!$B$13-가정!$B$14*A14)*H14))-3))*IF(A14=가정!$B$4,가정!$B$15,1)</f>
        <v>7170</v>
      </c>
      <c r="K14" s="25" t="n">
        <f aca="false">IF(H14&gt;0,J14/H14,"-")</f>
        <v>1.43035472350302</v>
      </c>
    </row>
    <row r="15" customFormat="false" ht="15" hidden="false" customHeight="false" outlineLevel="0" collapsed="false">
      <c r="A15" s="19" t="n">
        <v>10</v>
      </c>
      <c r="B15" s="20" t="n">
        <f aca="false">MAX(가정!$B$10,ROUND(가정!$B$8-가정!$B$9*A15,0))/100</f>
        <v>0.71</v>
      </c>
      <c r="C15" s="20" t="n">
        <f aca="false">MAX(가정!$B$10,ROUND(가정!$B$5-가정!$B$6*A15^2-가정!$B$7*A15,0))/100</f>
        <v>0.82</v>
      </c>
      <c r="D15" s="21" t="n">
        <f aca="false">MAX(가정!$B$11,ROUND(가정!$B$11*가정!$B$12^A15/10,0)*10)</f>
        <v>1730</v>
      </c>
      <c r="E15" s="22" t="n">
        <f aca="false">E14*B14</f>
        <v>0.196351119936397</v>
      </c>
      <c r="F15" s="22" t="n">
        <f aca="false">F14*C14</f>
        <v>0.499089637775393</v>
      </c>
      <c r="G15" s="23" t="n">
        <f aca="false">(G14+D14)/B14</f>
        <v>12273.9051947934</v>
      </c>
      <c r="H15" s="23" t="n">
        <f aca="false">(H14+D14)/C14</f>
        <v>7426.75595425669</v>
      </c>
      <c r="I15" s="23" t="n">
        <f aca="false">ROUND((가정!$B$13-가정!$B$14*A15)*G15,-MAX(1,LEN(INT((가정!$B$13-가정!$B$14*A15)*G15))-3))*IF(A15=가정!$B$4,가정!$B$15,1)</f>
        <v>17200</v>
      </c>
      <c r="J15" s="23" t="n">
        <f aca="false">ROUND((가정!$B$13-가정!$B$14*A15)*H15,-MAX(1,LEN(INT((가정!$B$13-가정!$B$14*A15)*H15))-3))*IF(A15=가정!$B$4,가정!$B$15,1)</f>
        <v>10400</v>
      </c>
      <c r="K15" s="25" t="n">
        <f aca="false">IF(H15&gt;0,J15/H15,"-")</f>
        <v>1.40034223072042</v>
      </c>
    </row>
    <row r="16" customFormat="false" ht="15" hidden="false" customHeight="false" outlineLevel="0" collapsed="false">
      <c r="A16" s="19" t="n">
        <v>11</v>
      </c>
      <c r="B16" s="20" t="n">
        <f aca="false">MAX(가정!$B$10,ROUND(가정!$B$8-가정!$B$9*A16,0))/100</f>
        <v>0.68</v>
      </c>
      <c r="C16" s="20" t="n">
        <f aca="false">MAX(가정!$B$10,ROUND(가정!$B$5-가정!$B$6*A16^2-가정!$B$7*A16,0))/100</f>
        <v>0.79</v>
      </c>
      <c r="D16" s="21" t="n">
        <f aca="false">MAX(가정!$B$11,ROUND(가정!$B$11*가정!$B$12^A16/10,0)*10)</f>
        <v>2300</v>
      </c>
      <c r="E16" s="22" t="n">
        <f aca="false">E15*B15</f>
        <v>0.139409295154842</v>
      </c>
      <c r="F16" s="22" t="n">
        <f aca="false">F15*C15</f>
        <v>0.409253502975822</v>
      </c>
      <c r="G16" s="23" t="n">
        <f aca="false">(G15+D15)/B15</f>
        <v>19723.8101335118</v>
      </c>
      <c r="H16" s="23" t="n">
        <f aca="false">(H15+D15)/C15</f>
        <v>11166.7755539716</v>
      </c>
      <c r="I16" s="23" t="n">
        <f aca="false">ROUND((가정!$B$13-가정!$B$14*A16)*G16,-MAX(1,LEN(INT((가정!$B$13-가정!$B$14*A16)*G16))-3))*IF(A16=가정!$B$4,가정!$B$15,1)</f>
        <v>27000</v>
      </c>
      <c r="J16" s="23" t="n">
        <f aca="false">ROUND((가정!$B$13-가정!$B$14*A16)*H16,-MAX(1,LEN(INT((가정!$B$13-가정!$B$14*A16)*H16))-3))*IF(A16=가정!$B$4,가정!$B$15,1)</f>
        <v>15300</v>
      </c>
      <c r="K16" s="25" t="n">
        <f aca="false">IF(H16&gt;0,J16/H16,"-")</f>
        <v>1.37013589339659</v>
      </c>
    </row>
    <row r="17" customFormat="false" ht="15" hidden="false" customHeight="false" outlineLevel="0" collapsed="false">
      <c r="A17" s="19" t="n">
        <v>12</v>
      </c>
      <c r="B17" s="20" t="n">
        <f aca="false">MAX(가정!$B$10,ROUND(가정!$B$8-가정!$B$9*A17,0))/100</f>
        <v>0.66</v>
      </c>
      <c r="C17" s="20" t="n">
        <f aca="false">MAX(가정!$B$10,ROUND(가정!$B$5-가정!$B$6*A17^2-가정!$B$7*A17,0))/100</f>
        <v>0.76</v>
      </c>
      <c r="D17" s="21" t="n">
        <f aca="false">MAX(가정!$B$11,ROUND(가정!$B$11*가정!$B$12^A17/10,0)*10)</f>
        <v>3060</v>
      </c>
      <c r="E17" s="22" t="n">
        <f aca="false">E16*B16</f>
        <v>0.0947983207052926</v>
      </c>
      <c r="F17" s="22" t="n">
        <f aca="false">F16*C16</f>
        <v>0.3233102673509</v>
      </c>
      <c r="G17" s="23" t="n">
        <f aca="false">(G16+D16)/B16</f>
        <v>32387.9560786939</v>
      </c>
      <c r="H17" s="23" t="n">
        <f aca="false">(H16+D16)/C16</f>
        <v>17046.5513341412</v>
      </c>
      <c r="I17" s="23" t="n">
        <f aca="false">ROUND((가정!$B$13-가정!$B$14*A17)*G17,-MAX(1,LEN(INT((가정!$B$13-가정!$B$14*A17)*G17))-3))*IF(A17=가정!$B$4,가정!$B$15,1)</f>
        <v>43400</v>
      </c>
      <c r="J17" s="23" t="n">
        <f aca="false">ROUND((가정!$B$13-가정!$B$14*A17)*H17,-MAX(1,LEN(INT((가정!$B$13-가정!$B$14*A17)*H17))-3))*IF(A17=가정!$B$4,가정!$B$15,1)</f>
        <v>22800</v>
      </c>
      <c r="K17" s="25" t="n">
        <f aca="false">IF(H17&gt;0,J17/H17,"-")</f>
        <v>1.33751393775089</v>
      </c>
    </row>
    <row r="18" customFormat="false" ht="15" hidden="false" customHeight="false" outlineLevel="0" collapsed="false">
      <c r="A18" s="19" t="n">
        <v>13</v>
      </c>
      <c r="B18" s="20" t="n">
        <f aca="false">MAX(가정!$B$10,ROUND(가정!$B$8-가정!$B$9*A18,0))/100</f>
        <v>0.63</v>
      </c>
      <c r="C18" s="20" t="n">
        <f aca="false">MAX(가정!$B$10,ROUND(가정!$B$5-가정!$B$6*A18^2-가정!$B$7*A18,0))/100</f>
        <v>0.72</v>
      </c>
      <c r="D18" s="21" t="n">
        <f aca="false">MAX(가정!$B$11,ROUND(가정!$B$11*가정!$B$12^A18/10,0)*10)</f>
        <v>4070</v>
      </c>
      <c r="E18" s="22" t="n">
        <f aca="false">E17*B17</f>
        <v>0.0625668916654931</v>
      </c>
      <c r="F18" s="22" t="n">
        <f aca="false">F17*C17</f>
        <v>0.245715803186684</v>
      </c>
      <c r="G18" s="23" t="n">
        <f aca="false">(G17+D17)/B17</f>
        <v>53709.0243616574</v>
      </c>
      <c r="H18" s="23" t="n">
        <f aca="false">(H17+D17)/C17</f>
        <v>26455.9885975543</v>
      </c>
      <c r="I18" s="23" t="n">
        <f aca="false">ROUND((가정!$B$13-가정!$B$14*A18)*G18,-MAX(1,LEN(INT((가정!$B$13-가정!$B$14*A18)*G18))-3))*IF(A18=가정!$B$4,가정!$B$15,1)</f>
        <v>70400</v>
      </c>
      <c r="J18" s="23" t="n">
        <f aca="false">ROUND((가정!$B$13-가정!$B$14*A18)*H18,-MAX(1,LEN(INT((가정!$B$13-가정!$B$14*A18)*H18))-3))*IF(A18=가정!$B$4,가정!$B$15,1)</f>
        <v>34700</v>
      </c>
      <c r="K18" s="25" t="n">
        <f aca="false">IF(H18&gt;0,J18/H18,"-")</f>
        <v>1.31161229798866</v>
      </c>
    </row>
    <row r="19" customFormat="false" ht="15" hidden="false" customHeight="false" outlineLevel="0" collapsed="false">
      <c r="A19" s="19" t="n">
        <v>14</v>
      </c>
      <c r="B19" s="20" t="n">
        <f aca="false">MAX(가정!$B$10,ROUND(가정!$B$8-가정!$B$9*A19,0))/100</f>
        <v>0.61</v>
      </c>
      <c r="C19" s="20" t="n">
        <f aca="false">MAX(가정!$B$10,ROUND(가정!$B$5-가정!$B$6*A19^2-가정!$B$7*A19,0))/100</f>
        <v>0.68</v>
      </c>
      <c r="D19" s="21" t="n">
        <f aca="false">MAX(가정!$B$11,ROUND(가정!$B$11*가정!$B$12^A19/10,0)*10)</f>
        <v>5420</v>
      </c>
      <c r="E19" s="22" t="n">
        <f aca="false">E18*B18</f>
        <v>0.0394171417492607</v>
      </c>
      <c r="F19" s="22" t="n">
        <f aca="false">F18*C18</f>
        <v>0.176915378294412</v>
      </c>
      <c r="G19" s="23" t="n">
        <f aca="false">(G18+D18)/B18</f>
        <v>91712.7370819958</v>
      </c>
      <c r="H19" s="23" t="n">
        <f aca="false">(H18+D18)/C18</f>
        <v>42397.206385492</v>
      </c>
      <c r="I19" s="23" t="n">
        <f aca="false">ROUND((가정!$B$13-가정!$B$14*A19)*G19,-MAX(1,LEN(INT((가정!$B$13-가정!$B$14*A19)*G19))-3))*IF(A19=가정!$B$4,가정!$B$15,1)</f>
        <v>117000</v>
      </c>
      <c r="J19" s="23" t="n">
        <f aca="false">ROUND((가정!$B$13-가정!$B$14*A19)*H19,-MAX(1,LEN(INT((가정!$B$13-가정!$B$14*A19)*H19))-3))*IF(A19=가정!$B$4,가정!$B$15,1)</f>
        <v>54300</v>
      </c>
      <c r="K19" s="25" t="n">
        <f aca="false">IF(H19&gt;0,J19/H19,"-")</f>
        <v>1.28074476196104</v>
      </c>
    </row>
    <row r="20" customFormat="false" ht="15" hidden="false" customHeight="false" outlineLevel="0" collapsed="false">
      <c r="A20" s="19" t="n">
        <v>15</v>
      </c>
      <c r="B20" s="20" t="n">
        <f aca="false">MAX(가정!$B$10,ROUND(가정!$B$8-가정!$B$9*A20,0))/100</f>
        <v>0.58</v>
      </c>
      <c r="C20" s="20" t="n">
        <f aca="false">MAX(가정!$B$10,ROUND(가정!$B$5-가정!$B$6*A20^2-가정!$B$7*A20,0))/100</f>
        <v>0.65</v>
      </c>
      <c r="D20" s="21" t="n">
        <f aca="false">MAX(가정!$B$11,ROUND(가정!$B$11*가정!$B$12^A20/10,0)*10)</f>
        <v>7210</v>
      </c>
      <c r="E20" s="22" t="n">
        <f aca="false">E19*B19</f>
        <v>0.024044456467049</v>
      </c>
      <c r="F20" s="22" t="n">
        <f aca="false">F19*C19</f>
        <v>0.1203024572402</v>
      </c>
      <c r="G20" s="23" t="n">
        <f aca="false">(G19+D19)/B19</f>
        <v>159233.995216387</v>
      </c>
      <c r="H20" s="23" t="n">
        <f aca="false">(H19+D19)/C19</f>
        <v>70319.4211551353</v>
      </c>
      <c r="I20" s="23" t="n">
        <f aca="false">ROUND((가정!$B$13-가정!$B$14*A20)*G20,-MAX(1,LEN(INT((가정!$B$13-가정!$B$14*A20)*G20))-3))*IF(A20=가정!$B$4,가정!$B$15,1)</f>
        <v>199000</v>
      </c>
      <c r="J20" s="23" t="n">
        <f aca="false">ROUND((가정!$B$13-가정!$B$14*A20)*H20,-MAX(1,LEN(INT((가정!$B$13-가정!$B$14*A20)*H20))-3))*IF(A20=가정!$B$4,가정!$B$15,1)</f>
        <v>87900</v>
      </c>
      <c r="K20" s="25" t="n">
        <f aca="false">IF(H20&gt;0,J20/H20,"-")</f>
        <v>1.25001028956253</v>
      </c>
    </row>
    <row r="21" customFormat="false" ht="15" hidden="false" customHeight="false" outlineLevel="0" collapsed="false">
      <c r="A21" s="19" t="n">
        <v>16</v>
      </c>
      <c r="B21" s="20" t="n">
        <f aca="false">MAX(가정!$B$10,ROUND(가정!$B$8-가정!$B$9*A21,0))/100</f>
        <v>0.55</v>
      </c>
      <c r="C21" s="20" t="n">
        <f aca="false">MAX(가정!$B$10,ROUND(가정!$B$5-가정!$B$6*A21^2-가정!$B$7*A21,0))/100</f>
        <v>0.6</v>
      </c>
      <c r="D21" s="21" t="n">
        <f aca="false">MAX(가정!$B$11,ROUND(가정!$B$11*가정!$B$12^A21/10,0)*10)</f>
        <v>9590</v>
      </c>
      <c r="E21" s="22" t="n">
        <f aca="false">E20*B20</f>
        <v>0.0139457847508884</v>
      </c>
      <c r="F21" s="22" t="n">
        <f aca="false">F20*C20</f>
        <v>0.0781965972061302</v>
      </c>
      <c r="G21" s="23" t="n">
        <f aca="false">(G20+D20)/B20</f>
        <v>286972.405545494</v>
      </c>
      <c r="H21" s="23" t="n">
        <f aca="false">(H20+D20)/C20</f>
        <v>119276.032546362</v>
      </c>
      <c r="I21" s="23" t="n">
        <f aca="false">ROUND((가정!$B$13-가정!$B$14*A21)*G21,-MAX(1,LEN(INT((가정!$B$13-가정!$B$14*A21)*G21))-3))*IF(A21=가정!$B$4,가정!$B$15,1)</f>
        <v>350000</v>
      </c>
      <c r="J21" s="23" t="n">
        <f aca="false">ROUND((가정!$B$13-가정!$B$14*A21)*H21,-MAX(1,LEN(INT((가정!$B$13-가정!$B$14*A21)*H21))-3))*IF(A21=가정!$B$4,가정!$B$15,1)</f>
        <v>146000</v>
      </c>
      <c r="K21" s="25" t="n">
        <f aca="false">IF(H21&gt;0,J21/H21,"-")</f>
        <v>1.22405144506505</v>
      </c>
    </row>
    <row r="22" customFormat="false" ht="15" hidden="false" customHeight="false" outlineLevel="0" collapsed="false">
      <c r="A22" s="19" t="n">
        <v>17</v>
      </c>
      <c r="B22" s="20" t="n">
        <f aca="false">MAX(가정!$B$10,ROUND(가정!$B$8-가정!$B$9*A22,0))/100</f>
        <v>0.53</v>
      </c>
      <c r="C22" s="20" t="n">
        <f aca="false">MAX(가정!$B$10,ROUND(가정!$B$5-가정!$B$6*A22^2-가정!$B$7*A22,0))/100</f>
        <v>0.56</v>
      </c>
      <c r="D22" s="21" t="n">
        <f aca="false">MAX(가정!$B$11,ROUND(가정!$B$11*가정!$B$12^A22/10,0)*10)</f>
        <v>12750</v>
      </c>
      <c r="E22" s="22" t="n">
        <f aca="false">E21*B21</f>
        <v>0.00767018161298864</v>
      </c>
      <c r="F22" s="22" t="n">
        <f aca="false">F21*C21</f>
        <v>0.0469179583236781</v>
      </c>
      <c r="G22" s="23" t="n">
        <f aca="false">(G21+D21)/B21</f>
        <v>539204.37371908</v>
      </c>
      <c r="H22" s="23" t="n">
        <f aca="false">(H21+D21)/C21</f>
        <v>214776.720910603</v>
      </c>
      <c r="I22" s="23" t="n">
        <f aca="false">ROUND((가정!$B$13-가정!$B$14*A22)*G22,-MAX(1,LEN(INT((가정!$B$13-가정!$B$14*A22)*G22))-3))*IF(A22=가정!$B$4,가정!$B$15,1)</f>
        <v>642000</v>
      </c>
      <c r="J22" s="23" t="n">
        <f aca="false">ROUND((가정!$B$13-가정!$B$14*A22)*H22,-MAX(1,LEN(INT((가정!$B$13-가정!$B$14*A22)*H22))-3))*IF(A22=가정!$B$4,가정!$B$15,1)</f>
        <v>256000</v>
      </c>
      <c r="K22" s="25" t="n">
        <f aca="false">IF(H22&gt;0,J22/H22,"-")</f>
        <v>1.19193550825536</v>
      </c>
    </row>
    <row r="23" customFormat="false" ht="15" hidden="false" customHeight="false" outlineLevel="0" collapsed="false">
      <c r="A23" s="19" t="n">
        <v>18</v>
      </c>
      <c r="B23" s="20" t="n">
        <f aca="false">MAX(가정!$B$10,ROUND(가정!$B$8-가정!$B$9*A23,0))/100</f>
        <v>0.5</v>
      </c>
      <c r="C23" s="20" t="n">
        <f aca="false">MAX(가정!$B$10,ROUND(가정!$B$5-가정!$B$6*A23^2-가정!$B$7*A23,0))/100</f>
        <v>0.51</v>
      </c>
      <c r="D23" s="21" t="n">
        <f aca="false">MAX(가정!$B$11,ROUND(가정!$B$11*가정!$B$12^A23/10,0)*10)</f>
        <v>16960</v>
      </c>
      <c r="E23" s="22" t="n">
        <f aca="false">E22*B22</f>
        <v>0.00406519625488398</v>
      </c>
      <c r="F23" s="22" t="n">
        <f aca="false">F22*C22</f>
        <v>0.0262740566612598</v>
      </c>
      <c r="G23" s="23" t="n">
        <f aca="false">(G22+D22)/B22</f>
        <v>1041423.34663977</v>
      </c>
      <c r="H23" s="23" t="n">
        <f aca="false">(H22+D22)/C22</f>
        <v>406297.715911792</v>
      </c>
      <c r="I23" s="23" t="n">
        <f aca="false">ROUND((가정!$B$13-가정!$B$14*A23)*G23,-MAX(1,LEN(INT((가정!$B$13-가정!$B$14*A23)*G23))-3))*IF(A23=가정!$B$4,가정!$B$15,1)</f>
        <v>1210000</v>
      </c>
      <c r="J23" s="23" t="n">
        <f aca="false">ROUND((가정!$B$13-가정!$B$14*A23)*H23,-MAX(1,LEN(INT((가정!$B$13-가정!$B$14*A23)*H23))-3))*IF(A23=가정!$B$4,가정!$B$15,1)</f>
        <v>471000</v>
      </c>
      <c r="K23" s="25" t="n">
        <f aca="false">IF(H23&gt;0,J23/H23,"-")</f>
        <v>1.1592484563764</v>
      </c>
    </row>
    <row r="24" customFormat="false" ht="15" hidden="false" customHeight="false" outlineLevel="0" collapsed="false">
      <c r="A24" s="19" t="n">
        <v>19</v>
      </c>
      <c r="B24" s="20" t="n">
        <f aca="false">MAX(가정!$B$10,ROUND(가정!$B$8-가정!$B$9*A24,0))/100</f>
        <v>0.48</v>
      </c>
      <c r="C24" s="20" t="n">
        <f aca="false">MAX(가정!$B$10,ROUND(가정!$B$5-가정!$B$6*A24^2-가정!$B$7*A24,0))/100</f>
        <v>0.46</v>
      </c>
      <c r="D24" s="21" t="n">
        <f aca="false">MAX(가정!$B$11,ROUND(가정!$B$11*가정!$B$12^A24/10,0)*10)</f>
        <v>22550</v>
      </c>
      <c r="E24" s="22" t="n">
        <f aca="false">E23*B23</f>
        <v>0.00203259812744199</v>
      </c>
      <c r="F24" s="22" t="n">
        <f aca="false">F23*C23</f>
        <v>0.0133997688972425</v>
      </c>
      <c r="G24" s="23" t="n">
        <f aca="false">(G23+D23)/B23</f>
        <v>2116766.69327955</v>
      </c>
      <c r="H24" s="23" t="n">
        <f aca="false">(H23+D23)/C23</f>
        <v>829917.090023121</v>
      </c>
      <c r="I24" s="23" t="n">
        <f aca="false">ROUND((가정!$B$13-가정!$B$14*A24)*G24,-MAX(1,LEN(INT((가정!$B$13-가정!$B$14*A24)*G24))-3))*IF(A24=가정!$B$4,가정!$B$15,1)</f>
        <v>2390000</v>
      </c>
      <c r="J24" s="23" t="n">
        <f aca="false">ROUND((가정!$B$13-가정!$B$14*A24)*H24,-MAX(1,LEN(INT((가정!$B$13-가정!$B$14*A24)*H24))-3))*IF(A24=가정!$B$4,가정!$B$15,1)</f>
        <v>938000</v>
      </c>
      <c r="K24" s="25" t="n">
        <f aca="false">IF(H24&gt;0,J24/H24,"-")</f>
        <v>1.13023338267907</v>
      </c>
    </row>
    <row r="25" customFormat="false" ht="15" hidden="false" customHeight="false" outlineLevel="0" collapsed="false">
      <c r="A25" s="26" t="n">
        <v>20</v>
      </c>
      <c r="B25" s="27" t="s">
        <v>50</v>
      </c>
      <c r="C25" s="27" t="s">
        <v>50</v>
      </c>
      <c r="D25" s="27" t="s">
        <v>50</v>
      </c>
      <c r="E25" s="28" t="n">
        <f aca="false">E24*B24</f>
        <v>0.000975647101172154</v>
      </c>
      <c r="F25" s="28" t="n">
        <f aca="false">F24*C24</f>
        <v>0.00616389369273154</v>
      </c>
      <c r="G25" s="29" t="n">
        <f aca="false">(G24+D24)/B24</f>
        <v>4456909.77766572</v>
      </c>
      <c r="H25" s="29" t="n">
        <f aca="false">(H24+D24)/C24</f>
        <v>1853189.32613722</v>
      </c>
      <c r="I25" s="29" t="n">
        <f aca="false">ROUND((가정!$B$13-가정!$B$14*A25)*G25,-MAX(1,LEN(INT((가정!$B$13-가정!$B$14*A25)*G25))-3))*IF(A25=가정!$B$4,가정!$B$15,1)</f>
        <v>9800000</v>
      </c>
      <c r="J25" s="29" t="n">
        <f aca="false">ROUND((가정!$B$13-가정!$B$14*A25)*H25,-MAX(1,LEN(INT((가정!$B$13-가정!$B$14*A25)*H25))-3))*IF(A25=가정!$B$4,가정!$B$15,1)</f>
        <v>4080000</v>
      </c>
      <c r="K25" s="30" t="n">
        <f aca="false">IF(H25&gt;0,J25/H25,"-")</f>
        <v>2.2016099178082</v>
      </c>
      <c r="L25" s="2" t="s">
        <v>51</v>
      </c>
    </row>
    <row r="28" customFormat="false" ht="15" hidden="false" customHeight="false" outlineLevel="0" collapsed="false">
      <c r="A28" s="2" t="s">
        <v>52</v>
      </c>
    </row>
    <row r="29" customFormat="false" ht="15" hidden="false" customHeight="false" outlineLevel="0" collapsed="false">
      <c r="A29" s="2" t="s">
        <v>53</v>
      </c>
    </row>
    <row r="30" customFormat="false" ht="15" hidden="false" customHeight="false" outlineLevel="0" collapsed="false">
      <c r="A30" s="2" t="s">
        <v>54</v>
      </c>
    </row>
    <row r="31" customFormat="false" ht="15" hidden="false" customHeight="false" outlineLevel="0" collapsed="false">
      <c r="A31" s="1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4" min="3" style="0" width="16"/>
  </cols>
  <sheetData>
    <row r="1" customFormat="false" ht="16.15" hidden="false" customHeight="false" outlineLevel="0" collapsed="false">
      <c r="A1" s="17" t="s">
        <v>56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A3" s="3" t="s">
        <v>58</v>
      </c>
      <c r="B3" s="4" t="s">
        <v>59</v>
      </c>
      <c r="C3" s="4" t="s">
        <v>60</v>
      </c>
      <c r="D3" s="4" t="s">
        <v>61</v>
      </c>
    </row>
    <row r="4" customFormat="false" ht="15" hidden="false" customHeight="false" outlineLevel="0" collapsed="false">
      <c r="A4" s="7" t="s">
        <v>62</v>
      </c>
      <c r="B4" s="7" t="s">
        <v>63</v>
      </c>
      <c r="C4" s="31" t="n">
        <v>600</v>
      </c>
      <c r="D4" s="21" t="n">
        <f aca="false">ROUND(C4*가정!$B$16/10,0)*10</f>
        <v>900</v>
      </c>
    </row>
    <row r="5" customFormat="false" ht="15" hidden="false" customHeight="false" outlineLevel="0" collapsed="false">
      <c r="A5" s="7" t="s">
        <v>64</v>
      </c>
      <c r="B5" s="7" t="s">
        <v>65</v>
      </c>
      <c r="C5" s="31" t="n">
        <v>300</v>
      </c>
      <c r="D5" s="21" t="n">
        <f aca="false">ROUND(C5*가정!$B$16/10,0)*10</f>
        <v>450</v>
      </c>
    </row>
    <row r="6" customFormat="false" ht="15" hidden="false" customHeight="false" outlineLevel="0" collapsed="false">
      <c r="A6" s="7" t="s">
        <v>66</v>
      </c>
      <c r="B6" s="7" t="s">
        <v>67</v>
      </c>
      <c r="C6" s="31" t="n">
        <v>2500</v>
      </c>
      <c r="D6" s="21" t="n">
        <f aca="false">ROUND(C6*가정!$B$16/10,0)*10</f>
        <v>3750</v>
      </c>
    </row>
    <row r="7" customFormat="false" ht="15" hidden="false" customHeight="false" outlineLevel="0" collapsed="false">
      <c r="A7" s="7" t="s">
        <v>68</v>
      </c>
      <c r="B7" s="7" t="s">
        <v>69</v>
      </c>
      <c r="C7" s="31" t="n">
        <v>15000</v>
      </c>
      <c r="D7" s="21" t="n">
        <f aca="false">ROUND(C7*가정!$B$16/10,0)*10</f>
        <v>22500</v>
      </c>
    </row>
    <row r="8" customFormat="false" ht="15" hidden="false" customHeight="false" outlineLevel="0" collapsed="false">
      <c r="A8" s="7" t="s">
        <v>70</v>
      </c>
      <c r="B8" s="7" t="s">
        <v>71</v>
      </c>
      <c r="C8" s="21" t="n">
        <f aca="false">ROUND(가정!$B$17*가정!$B$18^0/100,0)*100</f>
        <v>3000</v>
      </c>
      <c r="D8" s="21" t="n">
        <f aca="false">ROUND(C8*가정!$B$16/10,0)*10</f>
        <v>4500</v>
      </c>
    </row>
    <row r="9" customFormat="false" ht="15" hidden="false" customHeight="false" outlineLevel="0" collapsed="false">
      <c r="A9" s="7" t="s">
        <v>72</v>
      </c>
      <c r="B9" s="7" t="s">
        <v>71</v>
      </c>
      <c r="C9" s="21" t="n">
        <f aca="false">ROUND(가정!$B$17*가정!$B$18^1/100,0)*100</f>
        <v>5400</v>
      </c>
      <c r="D9" s="21" t="n">
        <f aca="false">ROUND(C9*가정!$B$16/10,0)*10</f>
        <v>8100</v>
      </c>
    </row>
    <row r="10" customFormat="false" ht="15" hidden="false" customHeight="false" outlineLevel="0" collapsed="false">
      <c r="A10" s="7" t="s">
        <v>73</v>
      </c>
      <c r="B10" s="7" t="s">
        <v>71</v>
      </c>
      <c r="C10" s="21" t="n">
        <f aca="false">ROUND(가정!$B$17*가정!$B$18^2/100,0)*100</f>
        <v>9700</v>
      </c>
      <c r="D10" s="21" t="n">
        <f aca="false">ROUND(C10*가정!$B$16/10,0)*10</f>
        <v>14550</v>
      </c>
    </row>
    <row r="11" customFormat="false" ht="15" hidden="false" customHeight="false" outlineLevel="0" collapsed="false">
      <c r="A11" s="7" t="s">
        <v>74</v>
      </c>
      <c r="B11" s="7" t="s">
        <v>71</v>
      </c>
      <c r="C11" s="21" t="n">
        <f aca="false">ROUND(가정!$B$17*가정!$B$18^3/100,0)*100</f>
        <v>17500</v>
      </c>
      <c r="D11" s="21" t="n">
        <f aca="false">ROUND(C11*가정!$B$16/10,0)*10</f>
        <v>26250</v>
      </c>
    </row>
    <row r="12" customFormat="false" ht="15" hidden="false" customHeight="false" outlineLevel="0" collapsed="false">
      <c r="A12" s="7" t="s">
        <v>75</v>
      </c>
      <c r="B12" s="7" t="s">
        <v>71</v>
      </c>
      <c r="C12" s="21" t="n">
        <f aca="false">ROUND(가정!$B$17*가정!$B$18^4/100,0)*100</f>
        <v>31500</v>
      </c>
      <c r="D12" s="21" t="n">
        <f aca="false">ROUND(C12*가정!$B$16/10,0)*10</f>
        <v>47250</v>
      </c>
    </row>
    <row r="13" customFormat="false" ht="15" hidden="false" customHeight="false" outlineLevel="0" collapsed="false">
      <c r="A13" s="7" t="s">
        <v>76</v>
      </c>
      <c r="B13" s="7" t="s">
        <v>71</v>
      </c>
      <c r="C13" s="21" t="n">
        <f aca="false">ROUND(가정!$B$17*가정!$B$18^5/100,0)*100</f>
        <v>56700</v>
      </c>
      <c r="D13" s="21" t="n">
        <f aca="false">ROUND(C13*가정!$B$16/10,0)*10</f>
        <v>85050</v>
      </c>
    </row>
    <row r="14" customFormat="false" ht="15" hidden="false" customHeight="false" outlineLevel="0" collapsed="false">
      <c r="A14" s="7" t="s">
        <v>77</v>
      </c>
      <c r="B14" s="7" t="s">
        <v>71</v>
      </c>
      <c r="C14" s="21" t="n">
        <f aca="false">ROUND(가정!$B$17*가정!$B$18^6/100,0)*100</f>
        <v>102000</v>
      </c>
      <c r="D14" s="21" t="n">
        <f aca="false">ROUND(C14*가정!$B$16/10,0)*10</f>
        <v>153000</v>
      </c>
    </row>
    <row r="15" customFormat="false" ht="15" hidden="false" customHeight="false" outlineLevel="0" collapsed="false">
      <c r="A15" s="7" t="s">
        <v>78</v>
      </c>
      <c r="B15" s="7" t="s">
        <v>71</v>
      </c>
      <c r="C15" s="21" t="n">
        <f aca="false">ROUND(가정!$B$17*가정!$B$18^7/100,0)*100</f>
        <v>183700</v>
      </c>
      <c r="D15" s="21" t="n">
        <f aca="false">ROUND(C15*가정!$B$16/10,0)*10</f>
        <v>275550</v>
      </c>
    </row>
    <row r="16" customFormat="false" ht="15" hidden="false" customHeight="false" outlineLevel="0" collapsed="false">
      <c r="A16" s="7" t="s">
        <v>79</v>
      </c>
      <c r="B16" s="7" t="s">
        <v>71</v>
      </c>
      <c r="C16" s="21" t="n">
        <f aca="false">ROUND(가정!$B$17*가정!$B$18^8/100,0)*100</f>
        <v>330600</v>
      </c>
      <c r="D16" s="21" t="n">
        <f aca="false">ROUND(C16*가정!$B$16/10,0)*10</f>
        <v>495900</v>
      </c>
    </row>
    <row r="17" customFormat="false" ht="15" hidden="false" customHeight="false" outlineLevel="0" collapsed="false">
      <c r="A17" s="7" t="s">
        <v>80</v>
      </c>
      <c r="B17" s="7" t="s">
        <v>71</v>
      </c>
      <c r="C17" s="21" t="n">
        <f aca="false">ROUND(가정!$B$17*가정!$B$18^9/100,0)*100</f>
        <v>595100</v>
      </c>
      <c r="D17" s="21" t="n">
        <f aca="false">ROUND(C17*가정!$B$16/10,0)*10</f>
        <v>892650</v>
      </c>
    </row>
    <row r="18" customFormat="false" ht="15" hidden="false" customHeight="false" outlineLevel="0" collapsed="false">
      <c r="A18" s="15" t="s">
        <v>81</v>
      </c>
      <c r="C18" s="32" t="n">
        <f aca="false">SUM(C8:C17)</f>
        <v>1335200</v>
      </c>
      <c r="D18" s="32" t="n">
        <f aca="false">SUM(D8:D17)</f>
        <v>2002800</v>
      </c>
    </row>
    <row r="20" customFormat="false" ht="15" hidden="false" customHeight="false" outlineLevel="0" collapsed="false">
      <c r="A20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20.1" hidden="false" customHeight="false" outlineLevel="0" collapsed="false">
      <c r="A1" s="17" t="s">
        <v>83</v>
      </c>
    </row>
    <row r="3" customFormat="false" ht="15" hidden="false" customHeight="false" outlineLevel="0" collapsed="false">
      <c r="A3" s="3" t="s">
        <v>84</v>
      </c>
      <c r="B3" s="4" t="s">
        <v>85</v>
      </c>
      <c r="C3" s="4" t="s">
        <v>86</v>
      </c>
    </row>
    <row r="4" customFormat="false" ht="15" hidden="false" customHeight="false" outlineLevel="0" collapsed="false">
      <c r="A4" s="7" t="s">
        <v>87</v>
      </c>
      <c r="B4" s="33" t="n">
        <v>20</v>
      </c>
      <c r="C4" s="7" t="s">
        <v>88</v>
      </c>
    </row>
    <row r="5" customFormat="false" ht="15" hidden="false" customHeight="false" outlineLevel="0" collapsed="false">
      <c r="A5" s="7" t="s">
        <v>89</v>
      </c>
      <c r="B5" s="33" t="n">
        <v>99</v>
      </c>
      <c r="C5" s="7" t="s">
        <v>90</v>
      </c>
    </row>
    <row r="6" customFormat="false" ht="15" hidden="false" customHeight="false" outlineLevel="0" collapsed="false">
      <c r="A6" s="7" t="s">
        <v>91</v>
      </c>
      <c r="B6" s="33" t="n">
        <v>0.12</v>
      </c>
      <c r="C6" s="7" t="s">
        <v>92</v>
      </c>
    </row>
    <row r="7" customFormat="false" ht="15" hidden="false" customHeight="false" outlineLevel="0" collapsed="false">
      <c r="A7" s="7" t="s">
        <v>93</v>
      </c>
      <c r="B7" s="33" t="n">
        <v>0.5</v>
      </c>
      <c r="C7" s="7" t="s">
        <v>92</v>
      </c>
    </row>
    <row r="8" customFormat="false" ht="15" hidden="false" customHeight="false" outlineLevel="0" collapsed="false">
      <c r="A8" s="7" t="s">
        <v>94</v>
      </c>
      <c r="B8" s="33" t="n">
        <v>97</v>
      </c>
      <c r="C8" s="7" t="s">
        <v>95</v>
      </c>
    </row>
    <row r="9" customFormat="false" ht="15" hidden="false" customHeight="false" outlineLevel="0" collapsed="false">
      <c r="A9" s="7" t="s">
        <v>96</v>
      </c>
      <c r="B9" s="33" t="n">
        <v>2.6</v>
      </c>
      <c r="C9" s="7" t="s">
        <v>97</v>
      </c>
    </row>
    <row r="10" customFormat="false" ht="15" hidden="false" customHeight="false" outlineLevel="0" collapsed="false">
      <c r="A10" s="7" t="s">
        <v>98</v>
      </c>
      <c r="B10" s="33" t="n">
        <v>30</v>
      </c>
      <c r="C10" s="7" t="s">
        <v>99</v>
      </c>
    </row>
    <row r="11" customFormat="false" ht="15" hidden="false" customHeight="false" outlineLevel="0" collapsed="false">
      <c r="A11" s="7" t="s">
        <v>100</v>
      </c>
      <c r="B11" s="33" t="n">
        <v>100</v>
      </c>
      <c r="C11" s="5" t="s">
        <v>101</v>
      </c>
    </row>
    <row r="12" customFormat="false" ht="15" hidden="false" customHeight="false" outlineLevel="0" collapsed="false">
      <c r="A12" s="7" t="s">
        <v>102</v>
      </c>
      <c r="B12" s="33" t="n">
        <v>1.33</v>
      </c>
      <c r="C12" s="7" t="s">
        <v>103</v>
      </c>
    </row>
    <row r="13" customFormat="false" ht="15" hidden="false" customHeight="false" outlineLevel="0" collapsed="false">
      <c r="A13" s="7" t="s">
        <v>104</v>
      </c>
      <c r="B13" s="33" t="n">
        <v>1.7</v>
      </c>
      <c r="C13" s="7" t="s">
        <v>105</v>
      </c>
    </row>
    <row r="14" customFormat="false" ht="15" hidden="false" customHeight="false" outlineLevel="0" collapsed="false">
      <c r="A14" s="7" t="s">
        <v>106</v>
      </c>
      <c r="B14" s="33" t="n">
        <v>0.03</v>
      </c>
      <c r="C14" s="7" t="s">
        <v>107</v>
      </c>
    </row>
    <row r="15" customFormat="false" ht="15" hidden="false" customHeight="false" outlineLevel="0" collapsed="false">
      <c r="A15" s="7" t="s">
        <v>108</v>
      </c>
      <c r="B15" s="33" t="n">
        <v>2</v>
      </c>
      <c r="C15" s="7" t="s">
        <v>109</v>
      </c>
    </row>
    <row r="16" customFormat="false" ht="15" hidden="false" customHeight="false" outlineLevel="0" collapsed="false">
      <c r="A16" s="7" t="s">
        <v>110</v>
      </c>
      <c r="B16" s="33" t="n">
        <v>1.5</v>
      </c>
      <c r="C16" s="7" t="s">
        <v>111</v>
      </c>
    </row>
    <row r="17" customFormat="false" ht="15" hidden="false" customHeight="false" outlineLevel="0" collapsed="false">
      <c r="A17" s="7" t="s">
        <v>112</v>
      </c>
      <c r="B17" s="33" t="n">
        <v>3000</v>
      </c>
      <c r="C17" s="7" t="s">
        <v>113</v>
      </c>
    </row>
    <row r="18" customFormat="false" ht="15" hidden="false" customHeight="false" outlineLevel="0" collapsed="false">
      <c r="A18" s="7" t="s">
        <v>114</v>
      </c>
      <c r="B18" s="33" t="n">
        <v>1.8</v>
      </c>
      <c r="C18" s="7" t="s">
        <v>115</v>
      </c>
    </row>
    <row r="20" customFormat="false" ht="15" hidden="false" customHeight="false" outlineLevel="0" collapsed="false">
      <c r="A20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2026-10-07T18:14:35Z</dcterms:created>
  <dc:creator>openpyxl</dc:creator>
  <dc:description/>
  <dc:language>en-US</dc:language>
  <cp:lastModifiedBy/>
  <dcterms:modified xsi:type="dcterms:W3CDTF">2026-10-07T18:14:35Z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